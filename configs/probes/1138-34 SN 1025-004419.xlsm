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S:\Manufacturing\Customer Array Information\Chronic\Cereport\SO-50014653\1138-44 SN 1025-004419\Mapping and Impedance\"/>
    </mc:Choice>
  </mc:AlternateContent>
  <xr:revisionPtr revIDLastSave="0" documentId="13_ncr:1_{195B9874-D8F8-448C-BC79-861D23DE1D1F}" xr6:coauthVersionLast="47" xr6:coauthVersionMax="47" xr10:uidLastSave="{00000000-0000-0000-0000-000000000000}"/>
  <bookViews>
    <workbookView xWindow="-108" yWindow="-108" windowWidth="23256" windowHeight="12576" activeTab="1" xr2:uid="{00000000-000D-0000-FFFF-FFFF00000000}"/>
  </bookViews>
  <sheets>
    <sheet name="Impedance Values from Automated" sheetId="1" r:id="rId1"/>
    <sheet name="Array Map with Automated Tester" sheetId="2" r:id="rId2"/>
    <sheet name="Cerebus mapping" sheetId="3" r:id="rId3"/>
  </sheets>
  <functionGroups builtInGroupCount="19"/>
  <definedNames>
    <definedName name="arraycols">'Array Map with Automated Tester'!$BH$11:$BH$27</definedName>
    <definedName name="arraylabel">'Array Map with Automated Tester'!$AO$11:$AO$43</definedName>
    <definedName name="arrayrows">'Array Map with Automated Tester'!$BG$11:$BG$43</definedName>
    <definedName name="arrayspace">'Array Map with Automated Tester'!$AP$11:$BF$43</definedName>
    <definedName name="Z_4FF8E199_9DCD_4A1D_B440_7626F2F9D72A_.wvu.Cols" localSheetId="1" hidden="1">'Array Map with Automated Tester'!$AO:$AO,'Array Map with Automated Tester'!$BD:$BH</definedName>
    <definedName name="Z_4FF8E199_9DCD_4A1D_B440_7626F2F9D72A_.wvu.Cols" localSheetId="2" hidden="1">'Cerebus mapping'!$F:$K</definedName>
    <definedName name="Z_CEE82286_2DC3_4150_9989_30CF9F331A30_.wvu.Cols" localSheetId="1" hidden="1">'Array Map with Automated Tester'!$AO:$AO,'Array Map with Automated Tester'!$BD:$BH</definedName>
    <definedName name="Z_CEE82286_2DC3_4150_9989_30CF9F331A30_.wvu.Cols" localSheetId="2" hidden="1">'Cerebus mapping'!$F:$K</definedName>
  </definedNames>
  <calcPr calcId="191029"/>
  <customWorkbookViews>
    <customWorkbookView name="Hyrum L. Sessions - Personal View" guid="{CEE82286-2DC3-4150-9989-30CF9F331A30}" mergeInterval="0" personalView="1" maximized="1" windowWidth="1050" windowHeight="1358" activeSheetId="2" showComments="commIndAndComment"/>
    <customWorkbookView name="Jerilyn Hoffman - Personal View" guid="{4FF8E199-9DCD-4A1D-B440-7626F2F9D72A}" mergeInterval="0" personalView="1" maximized="1" windowWidth="1463" windowHeight="56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 i="1" l="1"/>
  <c r="L6" i="1" l="1"/>
  <c r="AK15" i="2" l="1"/>
  <c r="AK23" i="2"/>
  <c r="AK24" i="2"/>
  <c r="AJ15" i="2"/>
  <c r="AJ16" i="2"/>
  <c r="AJ23" i="2"/>
  <c r="AJ24" i="2"/>
  <c r="P16" i="1"/>
  <c r="AK29" i="2" s="1"/>
  <c r="P15" i="1"/>
  <c r="AK28" i="2" s="1"/>
  <c r="P14" i="1"/>
  <c r="AK27" i="2" s="1"/>
  <c r="P13" i="1"/>
  <c r="AK26" i="2" s="1"/>
  <c r="P12" i="1"/>
  <c r="AK25" i="2" s="1"/>
  <c r="P11" i="1"/>
  <c r="P10" i="1"/>
  <c r="P9" i="1"/>
  <c r="AK22" i="2" s="1"/>
  <c r="P8" i="1"/>
  <c r="AK21" i="2" s="1"/>
  <c r="P7" i="1"/>
  <c r="AK20" i="2" s="1"/>
  <c r="P6" i="1"/>
  <c r="AK19" i="2" s="1"/>
  <c r="P5" i="1"/>
  <c r="AK18" i="2" s="1"/>
  <c r="P4" i="1"/>
  <c r="AK17" i="2" s="1"/>
  <c r="P3" i="1"/>
  <c r="AK16" i="2" s="1"/>
  <c r="P2" i="1"/>
  <c r="P1" i="1"/>
  <c r="AK14" i="2" s="1"/>
  <c r="O16" i="1"/>
  <c r="AJ29" i="2" s="1"/>
  <c r="O15" i="1"/>
  <c r="AJ28" i="2" s="1"/>
  <c r="O14" i="1"/>
  <c r="AJ27" i="2" s="1"/>
  <c r="O13" i="1"/>
  <c r="AJ26" i="2" s="1"/>
  <c r="O12" i="1"/>
  <c r="AJ25" i="2" s="1"/>
  <c r="O11" i="1"/>
  <c r="O10" i="1"/>
  <c r="O9" i="1"/>
  <c r="AJ22" i="2" s="1"/>
  <c r="O8" i="1"/>
  <c r="AJ21" i="2" s="1"/>
  <c r="O7" i="1"/>
  <c r="AJ20" i="2" s="1"/>
  <c r="O6" i="1"/>
  <c r="AJ19" i="2" s="1"/>
  <c r="O5" i="1"/>
  <c r="AJ18" i="2" s="1"/>
  <c r="O4" i="1"/>
  <c r="AJ17" i="2" s="1"/>
  <c r="O3" i="1"/>
  <c r="O2" i="1"/>
  <c r="O1" i="1"/>
  <c r="AJ14" i="2" s="1"/>
  <c r="J6" i="1"/>
  <c r="F16" i="3" l="1"/>
  <c r="F17" i="3" s="1"/>
  <c r="F18" i="3" s="1"/>
  <c r="F19" i="3" s="1"/>
  <c r="F20" i="3" s="1"/>
  <c r="F21" i="3" s="1"/>
  <c r="F22" i="3" s="1"/>
  <c r="F23" i="3" s="1"/>
  <c r="F24" i="3" s="1"/>
  <c r="F25" i="3" s="1"/>
  <c r="F26" i="3" s="1"/>
  <c r="F27" i="3" s="1"/>
  <c r="F28" i="3" s="1"/>
  <c r="F29" i="3" s="1"/>
  <c r="F30" i="3" s="1"/>
  <c r="F31" i="3" s="1"/>
  <c r="F32" i="3" s="1"/>
  <c r="F33" i="3" s="1"/>
  <c r="F34" i="3" s="1"/>
  <c r="F35" i="3" s="1"/>
  <c r="F36" i="3" s="1"/>
  <c r="F37" i="3" s="1"/>
  <c r="F38" i="3" s="1"/>
  <c r="F39" i="3" s="1"/>
  <c r="F40" i="3" s="1"/>
  <c r="F41" i="3" s="1"/>
  <c r="F42" i="3" s="1"/>
  <c r="F43" i="3" s="1"/>
  <c r="F44" i="3" s="1"/>
  <c r="F45" i="3" s="1"/>
  <c r="F46" i="3" s="1"/>
  <c r="F48" i="3"/>
  <c r="F49" i="3" s="1"/>
  <c r="F50" i="3" s="1"/>
  <c r="F51" i="3" s="1"/>
  <c r="F52" i="3" s="1"/>
  <c r="F53" i="3" s="1"/>
  <c r="F54" i="3" s="1"/>
  <c r="F55" i="3" s="1"/>
  <c r="F56" i="3" s="1"/>
  <c r="F57" i="3" s="1"/>
  <c r="F58" i="3" s="1"/>
  <c r="F59" i="3" s="1"/>
  <c r="F60" i="3" s="1"/>
  <c r="F61" i="3" s="1"/>
  <c r="F62" i="3" s="1"/>
  <c r="F63" i="3" s="1"/>
  <c r="F64" i="3" s="1"/>
  <c r="F65" i="3" s="1"/>
  <c r="F66" i="3" s="1"/>
  <c r="F67" i="3" s="1"/>
  <c r="F68" i="3" s="1"/>
  <c r="F69" i="3" s="1"/>
  <c r="F70" i="3" s="1"/>
  <c r="F71" i="3" s="1"/>
  <c r="F72" i="3" s="1"/>
  <c r="F73" i="3" s="1"/>
  <c r="F74" i="3" s="1"/>
  <c r="F75" i="3" s="1"/>
  <c r="F76" i="3" s="1"/>
  <c r="F77" i="3" s="1"/>
  <c r="F78" i="3" s="1"/>
  <c r="F80" i="3"/>
  <c r="F81" i="3"/>
  <c r="F82" i="3"/>
  <c r="F83" i="3" s="1"/>
  <c r="F84" i="3" s="1"/>
  <c r="F85" i="3" s="1"/>
  <c r="F86" i="3" s="1"/>
  <c r="F87" i="3" s="1"/>
  <c r="F88" i="3" s="1"/>
  <c r="F89" i="3" s="1"/>
  <c r="F90" i="3" s="1"/>
  <c r="F91" i="3" s="1"/>
  <c r="F92" i="3" s="1"/>
  <c r="F93" i="3" s="1"/>
  <c r="F94" i="3" s="1"/>
  <c r="F95" i="3" s="1"/>
  <c r="F96" i="3" s="1"/>
  <c r="F97" i="3" s="1"/>
  <c r="F98" i="3" s="1"/>
  <c r="F99" i="3" s="1"/>
  <c r="F100" i="3" s="1"/>
  <c r="F101" i="3" s="1"/>
  <c r="F102" i="3" s="1"/>
  <c r="F103" i="3" s="1"/>
  <c r="F104" i="3" s="1"/>
  <c r="F105" i="3" s="1"/>
  <c r="F106" i="3" s="1"/>
  <c r="F107" i="3" s="1"/>
  <c r="F108" i="3" s="1"/>
  <c r="F109" i="3" s="1"/>
  <c r="F110" i="3" s="1"/>
  <c r="F112" i="3"/>
  <c r="F113" i="3"/>
  <c r="F114" i="3" s="1"/>
  <c r="F115" i="3" s="1"/>
  <c r="F116" i="3" s="1"/>
  <c r="F117" i="3" s="1"/>
  <c r="F118" i="3" s="1"/>
  <c r="F119" i="3" s="1"/>
  <c r="F120" i="3" s="1"/>
  <c r="F121" i="3" s="1"/>
  <c r="F122" i="3" s="1"/>
  <c r="F123" i="3" s="1"/>
  <c r="F124" i="3" s="1"/>
  <c r="F125" i="3" s="1"/>
  <c r="F126" i="3" s="1"/>
  <c r="F127" i="3" s="1"/>
  <c r="F128" i="3" s="1"/>
  <c r="F129" i="3" s="1"/>
  <c r="F130" i="3" s="1"/>
  <c r="F131" i="3" s="1"/>
  <c r="F132" i="3" s="1"/>
  <c r="F133" i="3" s="1"/>
  <c r="F134" i="3" s="1"/>
  <c r="F135" i="3" s="1"/>
  <c r="F136" i="3" s="1"/>
  <c r="F137" i="3" s="1"/>
  <c r="F138" i="3" s="1"/>
  <c r="F139" i="3" s="1"/>
  <c r="F140" i="3" s="1"/>
  <c r="F141" i="3" s="1"/>
  <c r="F142" i="3" s="1"/>
  <c r="E11" i="2"/>
  <c r="AO11" i="2"/>
  <c r="AO12" i="2"/>
  <c r="AO13" i="2" s="1"/>
  <c r="AO14" i="2" s="1"/>
  <c r="AO15" i="2" s="1"/>
  <c r="AO16" i="2" s="1"/>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BG11" i="2"/>
  <c r="BH11" i="2"/>
  <c r="BG12" i="2"/>
  <c r="BH12" i="2"/>
  <c r="C13" i="2"/>
  <c r="BG13" i="2"/>
  <c r="BH13" i="2"/>
  <c r="BG14" i="2"/>
  <c r="BH14" i="2"/>
  <c r="BG15" i="2"/>
  <c r="BH15" i="2"/>
  <c r="BG16" i="2"/>
  <c r="BH16" i="2"/>
  <c r="BG17" i="2"/>
  <c r="BH17" i="2"/>
  <c r="BG18" i="2"/>
  <c r="BH18" i="2"/>
  <c r="BG19" i="2"/>
  <c r="BH19" i="2"/>
  <c r="BG20" i="2"/>
  <c r="BH20" i="2"/>
  <c r="BG21" i="2"/>
  <c r="BH21" i="2"/>
  <c r="BG22" i="2"/>
  <c r="BH22" i="2"/>
  <c r="BG23" i="2"/>
  <c r="BH23" i="2"/>
  <c r="BG24" i="2"/>
  <c r="BH24" i="2"/>
  <c r="BG25" i="2"/>
  <c r="BH25" i="2"/>
  <c r="BG26" i="2"/>
  <c r="BH26" i="2"/>
  <c r="BG27" i="2"/>
  <c r="BH27" i="2"/>
  <c r="BG28" i="2"/>
  <c r="BG29" i="2"/>
  <c r="BG30" i="2"/>
  <c r="BG31" i="2"/>
  <c r="BG32" i="2"/>
  <c r="BG33" i="2"/>
  <c r="BG34" i="2"/>
  <c r="BG35" i="2"/>
  <c r="BG36" i="2"/>
  <c r="BG37" i="2"/>
  <c r="BG38" i="2"/>
  <c r="BG39" i="2"/>
  <c r="BG40" i="2"/>
  <c r="BG41" i="2"/>
  <c r="BG42" i="2"/>
  <c r="BG43" i="2"/>
  <c r="F1" i="1"/>
  <c r="T14" i="2"/>
  <c r="L20" i="2" s="1"/>
  <c r="G1" i="1"/>
  <c r="U14" i="2" s="1"/>
  <c r="I1" i="1"/>
  <c r="Z14" i="2" s="1"/>
  <c r="J1" i="1"/>
  <c r="AA14" i="2" s="1"/>
  <c r="L1" i="1"/>
  <c r="AE14" i="2" s="1"/>
  <c r="M1" i="1"/>
  <c r="AF14" i="2"/>
  <c r="E28" i="2" s="1"/>
  <c r="F2" i="1"/>
  <c r="T15" i="2" s="1"/>
  <c r="G27" i="2" s="1"/>
  <c r="G2" i="1"/>
  <c r="U15" i="2" s="1"/>
  <c r="I2" i="1"/>
  <c r="Z15" i="2" s="1"/>
  <c r="J2" i="1"/>
  <c r="AA15" i="2" s="1"/>
  <c r="L2" i="1"/>
  <c r="AE15" i="2"/>
  <c r="D29" i="2" s="1"/>
  <c r="K22" i="2"/>
  <c r="M2" i="1"/>
  <c r="AF15" i="2" s="1"/>
  <c r="F3" i="1"/>
  <c r="T16" i="2" s="1"/>
  <c r="G3" i="1"/>
  <c r="U16" i="2"/>
  <c r="I27" i="2" s="1"/>
  <c r="L17" i="2"/>
  <c r="I3" i="1"/>
  <c r="Z16" i="2"/>
  <c r="I20" i="2" s="1"/>
  <c r="J3" i="1"/>
  <c r="AA16" i="2"/>
  <c r="I19" i="2" s="1"/>
  <c r="L3" i="1"/>
  <c r="AE16" i="2" s="1"/>
  <c r="M3" i="1"/>
  <c r="AF16" i="2" s="1"/>
  <c r="F4" i="1"/>
  <c r="T17" i="2" s="1"/>
  <c r="G4" i="1"/>
  <c r="U17" i="2" s="1"/>
  <c r="I4" i="1"/>
  <c r="Z17" i="2" s="1"/>
  <c r="J4" i="1"/>
  <c r="AA17" i="2"/>
  <c r="G31" i="2" s="1"/>
  <c r="L4" i="1"/>
  <c r="AE17" i="2" s="1"/>
  <c r="M4" i="1"/>
  <c r="AF17" i="2" s="1"/>
  <c r="F5" i="1"/>
  <c r="T18" i="2" s="1"/>
  <c r="I28" i="2" s="1"/>
  <c r="G5" i="1"/>
  <c r="U18" i="2" s="1"/>
  <c r="I5" i="1"/>
  <c r="Z18" i="2"/>
  <c r="F32" i="2" s="1"/>
  <c r="J5" i="1"/>
  <c r="AA18" i="2" s="1"/>
  <c r="L5" i="1"/>
  <c r="AE18" i="2" s="1"/>
  <c r="M5" i="1"/>
  <c r="AF18" i="2"/>
  <c r="F6" i="1"/>
  <c r="T19" i="2" s="1"/>
  <c r="G6" i="1"/>
  <c r="U19" i="2" s="1"/>
  <c r="K15" i="2" s="1"/>
  <c r="I6" i="1"/>
  <c r="Z19" i="2" s="1"/>
  <c r="AA19" i="2"/>
  <c r="H32" i="2"/>
  <c r="AE19" i="2"/>
  <c r="M6" i="1"/>
  <c r="AF19" i="2" s="1"/>
  <c r="F7" i="1"/>
  <c r="T20" i="2" s="1"/>
  <c r="J29" i="2"/>
  <c r="G7" i="1"/>
  <c r="U20" i="2"/>
  <c r="L27" i="2" s="1"/>
  <c r="I7" i="1"/>
  <c r="Z20" i="2"/>
  <c r="F33" i="2" s="1"/>
  <c r="J7" i="1"/>
  <c r="AA20" i="2"/>
  <c r="I32" i="2" s="1"/>
  <c r="L7" i="1"/>
  <c r="AE20" i="2"/>
  <c r="D34" i="2" s="1"/>
  <c r="M7" i="1"/>
  <c r="AF20" i="2" s="1"/>
  <c r="F8" i="1"/>
  <c r="T21" i="2"/>
  <c r="I17" i="2" s="1"/>
  <c r="U21" i="2"/>
  <c r="L28" i="2" s="1"/>
  <c r="I8" i="1"/>
  <c r="Z21" i="2"/>
  <c r="G33" i="2" s="1"/>
  <c r="J8" i="1"/>
  <c r="AA21" i="2"/>
  <c r="H30" i="2" s="1"/>
  <c r="L8" i="1"/>
  <c r="AE21" i="2"/>
  <c r="M8" i="1"/>
  <c r="AF21" i="2"/>
  <c r="E35" i="2" s="1"/>
  <c r="F9" i="1"/>
  <c r="T22" i="2"/>
  <c r="I29" i="2" s="1"/>
  <c r="G9" i="1"/>
  <c r="U22" i="2" s="1"/>
  <c r="K13" i="2" s="1"/>
  <c r="I9" i="1"/>
  <c r="Z22" i="2"/>
  <c r="E19" i="2" s="1"/>
  <c r="J9" i="1"/>
  <c r="AA22" i="2" s="1"/>
  <c r="L9" i="1"/>
  <c r="AE22" i="2"/>
  <c r="D21" i="2" s="1"/>
  <c r="M9" i="1"/>
  <c r="AF22" i="2" s="1"/>
  <c r="F10" i="1"/>
  <c r="T23" i="2"/>
  <c r="I16" i="2" s="1"/>
  <c r="G10" i="1"/>
  <c r="U23" i="2" s="1"/>
  <c r="I10" i="1"/>
  <c r="Z23" i="2" s="1"/>
  <c r="J10" i="1"/>
  <c r="AA23" i="2"/>
  <c r="L10" i="1"/>
  <c r="AE23" i="2"/>
  <c r="F36" i="2" s="1"/>
  <c r="M10" i="1"/>
  <c r="AF23" i="2"/>
  <c r="D20" i="2" s="1"/>
  <c r="F11" i="1"/>
  <c r="T24" i="2" s="1"/>
  <c r="G11" i="1"/>
  <c r="U24" i="2"/>
  <c r="J13" i="2"/>
  <c r="I11" i="1"/>
  <c r="Z24" i="2" s="1"/>
  <c r="J11" i="1"/>
  <c r="AA24" i="2"/>
  <c r="H16" i="2" s="1"/>
  <c r="L11" i="1"/>
  <c r="AE24" i="2"/>
  <c r="C19" i="2" s="1"/>
  <c r="M11" i="1"/>
  <c r="AF24" i="2"/>
  <c r="D19" i="2" s="1"/>
  <c r="F12" i="1"/>
  <c r="T25" i="2" s="1"/>
  <c r="G12" i="1"/>
  <c r="U25" i="2" s="1"/>
  <c r="I12" i="1"/>
  <c r="Z25" i="2" s="1"/>
  <c r="J12" i="1"/>
  <c r="AA25" i="2"/>
  <c r="I33" i="2" s="1"/>
  <c r="L12" i="1"/>
  <c r="AE25" i="2" s="1"/>
  <c r="M12" i="1"/>
  <c r="AF25" i="2"/>
  <c r="C18" i="2" s="1"/>
  <c r="F13" i="1"/>
  <c r="T26" i="2" s="1"/>
  <c r="G13" i="1"/>
  <c r="U26" i="2" s="1"/>
  <c r="I13" i="1"/>
  <c r="Z26" i="2" s="1"/>
  <c r="J13" i="1"/>
  <c r="AA26" i="2"/>
  <c r="F16" i="2" s="1"/>
  <c r="J33" i="2"/>
  <c r="L13" i="1"/>
  <c r="AE26" i="2" s="1"/>
  <c r="M13" i="1"/>
  <c r="AF26" i="2" s="1"/>
  <c r="F14" i="1"/>
  <c r="T27" i="2" s="1"/>
  <c r="G14" i="1"/>
  <c r="U27" i="2"/>
  <c r="M32" i="2" s="1"/>
  <c r="I14" i="1"/>
  <c r="Z27" i="2" s="1"/>
  <c r="J14" i="1"/>
  <c r="AA27" i="2"/>
  <c r="K33" i="2" s="1"/>
  <c r="L14" i="1"/>
  <c r="AE27" i="2"/>
  <c r="J35" i="2" s="1"/>
  <c r="M14" i="1"/>
  <c r="AF27" i="2" s="1"/>
  <c r="F15" i="1"/>
  <c r="T28" i="2"/>
  <c r="H14" i="2" s="1"/>
  <c r="G15" i="1"/>
  <c r="U28" i="2"/>
  <c r="F13" i="2" s="1"/>
  <c r="I15" i="1"/>
  <c r="Z28" i="2"/>
  <c r="L34" i="2" s="1"/>
  <c r="J15" i="1"/>
  <c r="AA28" i="2" s="1"/>
  <c r="L15" i="1"/>
  <c r="AE28" i="2" s="1"/>
  <c r="M15" i="1"/>
  <c r="AF28" i="2" s="1"/>
  <c r="D15" i="2" s="1"/>
  <c r="F16" i="1"/>
  <c r="T29" i="2" s="1"/>
  <c r="G16" i="1"/>
  <c r="U29" i="2" s="1"/>
  <c r="I16" i="1"/>
  <c r="Z29" i="2"/>
  <c r="L35" i="2" s="1"/>
  <c r="J16" i="1"/>
  <c r="AA29" i="2"/>
  <c r="L33" i="2" s="1"/>
  <c r="L16" i="1"/>
  <c r="AE29" i="2" s="1"/>
  <c r="M16" i="1"/>
  <c r="AF29" i="2" s="1"/>
  <c r="C14" i="2" s="1"/>
  <c r="M29" i="2"/>
  <c r="J16" i="2"/>
  <c r="J32" i="2"/>
  <c r="G16" i="2"/>
  <c r="L21" i="2"/>
  <c r="J17" i="2"/>
  <c r="H21" i="2"/>
  <c r="E32" i="2"/>
  <c r="F14" i="2"/>
  <c r="I18" i="2"/>
  <c r="H1" i="3"/>
  <c r="G1" i="3"/>
  <c r="A13" i="3"/>
  <c r="I35" i="2" l="1"/>
  <c r="D17" i="2"/>
  <c r="E29" i="2"/>
  <c r="K21" i="2"/>
  <c r="F18" i="2"/>
  <c r="H33" i="2"/>
  <c r="L32" i="2"/>
  <c r="G14" i="2"/>
  <c r="D32" i="2"/>
  <c r="H22" i="2"/>
  <c r="F21" i="2"/>
  <c r="E34" i="2"/>
  <c r="J21" i="2"/>
  <c r="E30" i="2"/>
  <c r="I14" i="2"/>
  <c r="L30" i="2"/>
  <c r="F31" i="2"/>
  <c r="H20" i="2"/>
  <c r="K19" i="2"/>
  <c r="G28" i="2"/>
  <c r="D30" i="2"/>
  <c r="J22" i="2"/>
  <c r="K36" i="2"/>
  <c r="C15" i="2"/>
  <c r="K30" i="2"/>
  <c r="I15" i="2"/>
  <c r="I31" i="2"/>
  <c r="H17" i="2"/>
  <c r="G19" i="2"/>
  <c r="G32" i="2"/>
  <c r="J27" i="2"/>
  <c r="L16" i="2"/>
  <c r="G29" i="2"/>
  <c r="J19" i="2"/>
  <c r="G20" i="2"/>
  <c r="E14" i="2"/>
  <c r="F15" i="2"/>
  <c r="G36" i="2"/>
  <c r="E36" i="2"/>
  <c r="L22" i="2"/>
  <c r="D28" i="2"/>
  <c r="E22" i="2"/>
  <c r="D35" i="2"/>
  <c r="D16" i="2"/>
  <c r="F35" i="2"/>
  <c r="F22" i="2"/>
  <c r="G30" i="2"/>
  <c r="H19" i="2"/>
  <c r="F27" i="2"/>
  <c r="I22" i="2"/>
  <c r="D31" i="2"/>
  <c r="G22" i="2"/>
  <c r="D33" i="2"/>
  <c r="L14" i="2"/>
  <c r="C20" i="2"/>
  <c r="G13" i="2"/>
  <c r="M35" i="2"/>
  <c r="D13" i="2"/>
  <c r="I36" i="2"/>
  <c r="C17" i="2"/>
  <c r="M31" i="2"/>
  <c r="H13" i="2"/>
  <c r="K16" i="2"/>
  <c r="J28" i="2"/>
  <c r="K20" i="2"/>
  <c r="F28" i="2"/>
  <c r="E15" i="2"/>
  <c r="K34" i="2"/>
  <c r="M20" i="2"/>
  <c r="E27" i="2"/>
  <c r="C16" i="2"/>
  <c r="J36" i="2"/>
  <c r="K29" i="2"/>
  <c r="J15" i="2"/>
  <c r="H34" i="2"/>
  <c r="E18" i="2"/>
  <c r="E13" i="2"/>
  <c r="M34" i="2"/>
  <c r="E20" i="2"/>
  <c r="F34" i="2"/>
  <c r="I34" i="2"/>
  <c r="E17" i="2"/>
  <c r="K27" i="2"/>
  <c r="L15" i="2"/>
  <c r="J14" i="2"/>
  <c r="L29" i="2"/>
  <c r="G15" i="2"/>
  <c r="K32" i="2"/>
  <c r="I21" i="2"/>
  <c r="E31" i="2"/>
  <c r="H29" i="2"/>
  <c r="J18" i="2"/>
  <c r="D18" i="2"/>
  <c r="H35" i="2"/>
  <c r="H31" i="2"/>
  <c r="H18" i="2"/>
  <c r="H28" i="2"/>
  <c r="K18" i="2"/>
  <c r="F29" i="2"/>
  <c r="J20" i="2"/>
  <c r="J34" i="2"/>
  <c r="E16" i="2"/>
  <c r="G21" i="2"/>
  <c r="E33" i="2"/>
  <c r="H27" i="2"/>
  <c r="L18" i="2"/>
  <c r="F20" i="2"/>
  <c r="K14" i="2"/>
  <c r="F19" i="2"/>
  <c r="F3" i="3"/>
  <c r="K35" i="2"/>
  <c r="L36" i="2"/>
  <c r="H36" i="2"/>
  <c r="G3" i="3"/>
  <c r="E21" i="2"/>
  <c r="G35" i="2"/>
  <c r="K28" i="2"/>
  <c r="M33" i="2"/>
  <c r="M28" i="2"/>
  <c r="F17" i="2"/>
  <c r="I30" i="2"/>
  <c r="L19" i="2"/>
  <c r="J31" i="2"/>
  <c r="D14" i="2"/>
  <c r="G34" i="2"/>
  <c r="F30" i="2"/>
  <c r="J30" i="2"/>
  <c r="L31" i="2"/>
  <c r="H15" i="2"/>
  <c r="K31" i="2"/>
  <c r="I13" i="2"/>
  <c r="M30" i="2"/>
  <c r="K17" i="2"/>
  <c r="G38" i="3"/>
  <c r="G41" i="3"/>
  <c r="G54" i="3"/>
  <c r="G107" i="3"/>
  <c r="G104" i="3"/>
  <c r="G69" i="3"/>
  <c r="G47" i="3"/>
  <c r="G24" i="3"/>
  <c r="G51" i="3"/>
  <c r="G128" i="3"/>
  <c r="G23" i="3"/>
  <c r="G97" i="3"/>
  <c r="G106" i="3"/>
  <c r="G71" i="3"/>
  <c r="G92" i="3"/>
  <c r="G108" i="3"/>
  <c r="G80" i="3"/>
  <c r="G116" i="3"/>
  <c r="G58" i="3"/>
  <c r="G96" i="3"/>
  <c r="G126" i="3"/>
  <c r="G78" i="3"/>
  <c r="G133" i="3"/>
  <c r="G119" i="3"/>
  <c r="G135" i="3"/>
  <c r="G30" i="3"/>
  <c r="G52" i="3"/>
  <c r="G134" i="3"/>
  <c r="G20" i="3"/>
  <c r="G82" i="3"/>
  <c r="G40" i="3"/>
  <c r="G60" i="3"/>
  <c r="G99" i="3"/>
  <c r="G36" i="3"/>
  <c r="G113" i="3"/>
  <c r="G81" i="3"/>
  <c r="G27" i="3"/>
  <c r="G35" i="3"/>
  <c r="G39" i="3"/>
  <c r="G44" i="3"/>
  <c r="G48" i="3"/>
  <c r="G42" i="3"/>
  <c r="G98" i="3"/>
  <c r="G129" i="3"/>
  <c r="G19" i="3"/>
  <c r="G21" i="3"/>
  <c r="G110" i="3"/>
  <c r="G79" i="3"/>
  <c r="G120" i="3"/>
  <c r="G34" i="3"/>
  <c r="G70" i="3"/>
  <c r="G15" i="3"/>
  <c r="G101" i="3"/>
  <c r="G49" i="3"/>
  <c r="G114" i="3"/>
  <c r="G131" i="3"/>
  <c r="G102" i="3"/>
  <c r="G64" i="3"/>
  <c r="G86" i="3"/>
  <c r="G112" i="3"/>
  <c r="G53" i="3"/>
  <c r="G117" i="3"/>
  <c r="G93" i="3"/>
  <c r="G72" i="3"/>
  <c r="G100" i="3"/>
  <c r="G65" i="3"/>
  <c r="G46" i="3"/>
  <c r="G57" i="3"/>
  <c r="G141" i="3"/>
  <c r="G138" i="3"/>
  <c r="G43" i="3"/>
  <c r="G76" i="3"/>
  <c r="G50" i="3"/>
  <c r="G89" i="3"/>
  <c r="G55" i="3"/>
  <c r="G31" i="3"/>
  <c r="G125" i="3"/>
  <c r="G62" i="3"/>
  <c r="G22" i="3"/>
  <c r="G45" i="3"/>
  <c r="G17" i="3"/>
  <c r="G140" i="3"/>
  <c r="G130" i="3"/>
  <c r="G123" i="3"/>
  <c r="G74" i="3"/>
  <c r="G26" i="3"/>
  <c r="G136" i="3"/>
  <c r="G77" i="3"/>
  <c r="G32" i="3"/>
  <c r="G88" i="3"/>
  <c r="G105" i="3"/>
  <c r="G91" i="3"/>
  <c r="G85" i="3"/>
  <c r="G139" i="3"/>
  <c r="G61" i="3"/>
  <c r="G68" i="3"/>
  <c r="G115" i="3"/>
  <c r="G37" i="3"/>
  <c r="G137" i="3"/>
  <c r="G127" i="3"/>
  <c r="G94" i="3"/>
  <c r="G33" i="3"/>
  <c r="G56" i="3"/>
  <c r="G109" i="3"/>
  <c r="G122" i="3"/>
  <c r="G103" i="3"/>
  <c r="G124" i="3"/>
  <c r="G142" i="3"/>
  <c r="G59" i="3"/>
  <c r="G63" i="3"/>
  <c r="G67" i="3"/>
  <c r="G28" i="3"/>
  <c r="G75" i="3"/>
  <c r="G66" i="3"/>
  <c r="G83" i="3"/>
  <c r="G118" i="3"/>
  <c r="G87" i="3"/>
  <c r="G84" i="3"/>
  <c r="G111" i="3"/>
  <c r="G18" i="3"/>
  <c r="G132" i="3"/>
  <c r="G121" i="3"/>
  <c r="G16" i="3"/>
  <c r="G29" i="3"/>
  <c r="G95" i="3"/>
  <c r="G25" i="3"/>
  <c r="G73" i="3"/>
  <c r="G90" i="3"/>
  <c r="I15" i="3" l="1"/>
  <c r="I78" i="3" l="1"/>
  <c r="I46" i="3"/>
  <c r="I52" i="3"/>
  <c r="I130" i="3"/>
  <c r="I81" i="3"/>
  <c r="I98" i="3"/>
  <c r="I139" i="3"/>
  <c r="I73" i="3"/>
  <c r="I133" i="3"/>
  <c r="I27" i="3"/>
  <c r="I89" i="3"/>
  <c r="I62" i="3"/>
  <c r="I123" i="3"/>
  <c r="I77" i="3"/>
  <c r="I93" i="3"/>
  <c r="I138" i="3"/>
  <c r="I63" i="3"/>
  <c r="I112" i="3"/>
  <c r="I79" i="3"/>
  <c r="I115" i="3"/>
  <c r="I20" i="3"/>
  <c r="I32" i="3"/>
  <c r="I74" i="3"/>
  <c r="I40" i="3"/>
  <c r="I117" i="3"/>
  <c r="I70" i="3"/>
  <c r="I132" i="3"/>
  <c r="I91" i="3"/>
  <c r="I21" i="3"/>
  <c r="I41" i="3"/>
  <c r="I49" i="3"/>
  <c r="I97" i="3"/>
  <c r="I26" i="3"/>
  <c r="I22" i="3"/>
  <c r="I103" i="3"/>
  <c r="I53" i="3"/>
  <c r="I42" i="3"/>
  <c r="I56" i="3"/>
  <c r="I34" i="3"/>
  <c r="I87" i="3"/>
  <c r="I99" i="3"/>
  <c r="I30" i="3"/>
  <c r="I80" i="3"/>
  <c r="I86" i="3"/>
  <c r="I142" i="3"/>
  <c r="I61" i="3"/>
  <c r="I85" i="3"/>
  <c r="I136" i="3"/>
  <c r="I37" i="3"/>
  <c r="I140" i="3"/>
  <c r="I110" i="3"/>
  <c r="I16" i="3"/>
  <c r="I50" i="3"/>
  <c r="I55" i="3"/>
  <c r="I94" i="3"/>
  <c r="I109" i="3"/>
  <c r="I121" i="3"/>
  <c r="I25" i="3"/>
  <c r="I113" i="3"/>
  <c r="I38" i="3"/>
  <c r="I23" i="3"/>
  <c r="I119" i="3"/>
  <c r="I124" i="3"/>
  <c r="I43" i="3"/>
  <c r="I76" i="3"/>
  <c r="I48" i="3"/>
  <c r="I36" i="3"/>
  <c r="I47" i="3"/>
  <c r="I66" i="3"/>
  <c r="I33" i="3"/>
  <c r="I95" i="3"/>
  <c r="I83" i="3"/>
  <c r="I60" i="3"/>
  <c r="I19" i="3"/>
  <c r="I75" i="3"/>
  <c r="I59" i="3"/>
  <c r="I45" i="3"/>
  <c r="I67" i="3"/>
  <c r="I57" i="3"/>
  <c r="I100" i="3"/>
  <c r="I29" i="3"/>
  <c r="I17" i="3"/>
  <c r="I108" i="3"/>
  <c r="I24" i="3"/>
  <c r="I92" i="3"/>
  <c r="I96" i="3"/>
  <c r="I127" i="3"/>
  <c r="I84" i="3"/>
  <c r="I69" i="3"/>
  <c r="I128" i="3"/>
  <c r="I137" i="3"/>
  <c r="I44" i="3"/>
  <c r="I58" i="3"/>
  <c r="I134" i="3"/>
  <c r="I104" i="3"/>
  <c r="I51" i="3"/>
  <c r="I125" i="3"/>
  <c r="I71" i="3"/>
  <c r="I114" i="3"/>
  <c r="I64" i="3"/>
  <c r="I106" i="3"/>
  <c r="I131" i="3"/>
  <c r="I126" i="3"/>
  <c r="I141" i="3"/>
  <c r="I122" i="3"/>
  <c r="I18" i="3"/>
  <c r="I88" i="3"/>
  <c r="I65" i="3"/>
  <c r="I28" i="3"/>
  <c r="I82" i="3"/>
  <c r="H15" i="3"/>
  <c r="I72" i="3"/>
  <c r="I102" i="3"/>
  <c r="I35" i="3"/>
  <c r="I90" i="3"/>
  <c r="I31" i="3"/>
  <c r="I107" i="3"/>
  <c r="I101" i="3"/>
  <c r="I68" i="3"/>
  <c r="I105" i="3"/>
  <c r="I135" i="3"/>
  <c r="I129" i="3"/>
  <c r="I39" i="3"/>
  <c r="I116" i="3"/>
  <c r="I111" i="3"/>
  <c r="I54" i="3"/>
  <c r="I120" i="3"/>
  <c r="I118" i="3"/>
  <c r="J15" i="3"/>
  <c r="B15" i="3" l="1"/>
  <c r="A15" i="3"/>
  <c r="C15" i="3" s="1"/>
  <c r="D15" i="3" s="1"/>
  <c r="H16" i="3"/>
  <c r="K15" i="3"/>
  <c r="J16" i="3"/>
  <c r="H17" i="3"/>
  <c r="A16" i="3" l="1"/>
  <c r="C16" i="3" s="1"/>
  <c r="D16" i="3" s="1"/>
  <c r="B16" i="3"/>
  <c r="J17" i="3"/>
  <c r="H18" i="3"/>
  <c r="K16" i="3"/>
  <c r="B17" i="3" l="1"/>
  <c r="A17" i="3"/>
  <c r="C17" i="3" s="1"/>
  <c r="D17" i="3" s="1"/>
  <c r="J18" i="3"/>
  <c r="K17" i="3"/>
  <c r="H19" i="3"/>
  <c r="A18" i="3" l="1"/>
  <c r="C18" i="3" s="1"/>
  <c r="D18" i="3" s="1"/>
  <c r="B18" i="3"/>
  <c r="J19" i="3"/>
  <c r="H20" i="3"/>
  <c r="K18" i="3"/>
  <c r="A19" i="3" l="1"/>
  <c r="C19" i="3" s="1"/>
  <c r="D19" i="3" s="1"/>
  <c r="B19" i="3"/>
  <c r="K19" i="3"/>
  <c r="J20" i="3"/>
  <c r="H21" i="3"/>
  <c r="B20" i="3" l="1"/>
  <c r="A20" i="3"/>
  <c r="C20" i="3" s="1"/>
  <c r="D20" i="3" s="1"/>
  <c r="J21" i="3"/>
  <c r="K20" i="3"/>
  <c r="H22" i="3"/>
  <c r="B21" i="3" l="1"/>
  <c r="A21" i="3"/>
  <c r="C21" i="3" s="1"/>
  <c r="D21" i="3" s="1"/>
  <c r="J22" i="3"/>
  <c r="K21" i="3"/>
  <c r="H23" i="3"/>
  <c r="B22" i="3" l="1"/>
  <c r="A22" i="3"/>
  <c r="C22" i="3" s="1"/>
  <c r="D22" i="3" s="1"/>
  <c r="J23" i="3"/>
  <c r="K22" i="3"/>
  <c r="H24" i="3"/>
  <c r="A23" i="3" l="1"/>
  <c r="C23" i="3" s="1"/>
  <c r="D23" i="3" s="1"/>
  <c r="B23" i="3"/>
  <c r="J24" i="3"/>
  <c r="H25" i="3"/>
  <c r="K23" i="3"/>
  <c r="B24" i="3" l="1"/>
  <c r="A24" i="3"/>
  <c r="C24" i="3" s="1"/>
  <c r="D24" i="3" s="1"/>
  <c r="K24" i="3"/>
  <c r="J25" i="3"/>
  <c r="H26" i="3"/>
  <c r="A25" i="3" l="1"/>
  <c r="C25" i="3" s="1"/>
  <c r="D25" i="3" s="1"/>
  <c r="B25" i="3"/>
  <c r="J26" i="3"/>
  <c r="K25" i="3"/>
  <c r="H27" i="3"/>
  <c r="B26" i="3" l="1"/>
  <c r="A26" i="3"/>
  <c r="C26" i="3" s="1"/>
  <c r="D26" i="3" s="1"/>
  <c r="J27" i="3"/>
  <c r="K26" i="3"/>
  <c r="H28" i="3"/>
  <c r="B27" i="3" l="1"/>
  <c r="A27" i="3"/>
  <c r="C27" i="3" s="1"/>
  <c r="D27" i="3" s="1"/>
  <c r="J28" i="3"/>
  <c r="K27" i="3"/>
  <c r="H29" i="3"/>
  <c r="B28" i="3" l="1"/>
  <c r="A28" i="3"/>
  <c r="C28" i="3" s="1"/>
  <c r="D28" i="3" s="1"/>
  <c r="J29" i="3"/>
  <c r="K28" i="3"/>
  <c r="H30" i="3"/>
  <c r="B29" i="3" l="1"/>
  <c r="A29" i="3"/>
  <c r="C29" i="3" s="1"/>
  <c r="D29" i="3" s="1"/>
  <c r="K29" i="3"/>
  <c r="J30" i="3"/>
  <c r="H31" i="3"/>
  <c r="A30" i="3" l="1"/>
  <c r="C30" i="3" s="1"/>
  <c r="D30" i="3" s="1"/>
  <c r="B30" i="3"/>
  <c r="J31" i="3"/>
  <c r="K30" i="3"/>
  <c r="H32" i="3"/>
  <c r="A31" i="3" l="1"/>
  <c r="C31" i="3" s="1"/>
  <c r="D31" i="3" s="1"/>
  <c r="B31" i="3"/>
  <c r="J32" i="3"/>
  <c r="K31" i="3"/>
  <c r="H33" i="3"/>
  <c r="B32" i="3" l="1"/>
  <c r="A32" i="3"/>
  <c r="C32" i="3" s="1"/>
  <c r="D32" i="3" s="1"/>
  <c r="J33" i="3"/>
  <c r="K32" i="3"/>
  <c r="H34" i="3"/>
  <c r="B33" i="3" l="1"/>
  <c r="A33" i="3"/>
  <c r="C33" i="3" s="1"/>
  <c r="D33" i="3" s="1"/>
  <c r="K33" i="3"/>
  <c r="J34" i="3"/>
  <c r="H35" i="3"/>
  <c r="B34" i="3" l="1"/>
  <c r="A34" i="3"/>
  <c r="C34" i="3" s="1"/>
  <c r="D34" i="3" s="1"/>
  <c r="K34" i="3"/>
  <c r="J35" i="3"/>
  <c r="H36" i="3"/>
  <c r="B35" i="3" l="1"/>
  <c r="A35" i="3"/>
  <c r="C35" i="3" s="1"/>
  <c r="D35" i="3" s="1"/>
  <c r="K35" i="3"/>
  <c r="J36" i="3"/>
  <c r="H37" i="3"/>
  <c r="B36" i="3" l="1"/>
  <c r="A36" i="3"/>
  <c r="C36" i="3" s="1"/>
  <c r="D36" i="3" s="1"/>
  <c r="K36" i="3"/>
  <c r="J37" i="3"/>
  <c r="H38" i="3"/>
  <c r="B37" i="3" l="1"/>
  <c r="A37" i="3"/>
  <c r="C37" i="3" s="1"/>
  <c r="D37" i="3" s="1"/>
  <c r="J38" i="3"/>
  <c r="K37" i="3"/>
  <c r="H39" i="3"/>
  <c r="A38" i="3" l="1"/>
  <c r="C38" i="3" s="1"/>
  <c r="D38" i="3" s="1"/>
  <c r="B38" i="3"/>
  <c r="J39" i="3"/>
  <c r="K38" i="3"/>
  <c r="H40" i="3"/>
  <c r="B39" i="3" l="1"/>
  <c r="A39" i="3"/>
  <c r="C39" i="3" s="1"/>
  <c r="D39" i="3" s="1"/>
  <c r="K39" i="3"/>
  <c r="J40" i="3"/>
  <c r="H41" i="3"/>
  <c r="A40" i="3" l="1"/>
  <c r="C40" i="3" s="1"/>
  <c r="D40" i="3" s="1"/>
  <c r="B40" i="3"/>
  <c r="K40" i="3"/>
  <c r="J41" i="3"/>
  <c r="H42" i="3"/>
  <c r="B41" i="3" l="1"/>
  <c r="A41" i="3"/>
  <c r="C41" i="3" s="1"/>
  <c r="D41" i="3" s="1"/>
  <c r="J42" i="3"/>
  <c r="K41" i="3"/>
  <c r="H43" i="3"/>
  <c r="A42" i="3" l="1"/>
  <c r="C42" i="3" s="1"/>
  <c r="D42" i="3" s="1"/>
  <c r="B42" i="3"/>
  <c r="J43" i="3"/>
  <c r="K42" i="3"/>
  <c r="H44" i="3"/>
  <c r="A43" i="3" l="1"/>
  <c r="C43" i="3" s="1"/>
  <c r="D43" i="3" s="1"/>
  <c r="B43" i="3"/>
  <c r="J44" i="3"/>
  <c r="H45" i="3"/>
  <c r="K43" i="3"/>
  <c r="A44" i="3" l="1"/>
  <c r="C44" i="3" s="1"/>
  <c r="D44" i="3" s="1"/>
  <c r="B44" i="3"/>
  <c r="K44" i="3"/>
  <c r="J45" i="3"/>
  <c r="H46" i="3"/>
  <c r="B45" i="3" l="1"/>
  <c r="A45" i="3"/>
  <c r="C45" i="3" s="1"/>
  <c r="D45" i="3" s="1"/>
  <c r="K45" i="3"/>
  <c r="J46" i="3"/>
  <c r="H47" i="3"/>
  <c r="B46" i="3" l="1"/>
  <c r="A46" i="3"/>
  <c r="C46" i="3" s="1"/>
  <c r="D46" i="3" s="1"/>
  <c r="J47" i="3"/>
  <c r="K46" i="3"/>
  <c r="H48" i="3"/>
  <c r="A47" i="3" l="1"/>
  <c r="C47" i="3" s="1"/>
  <c r="D47" i="3" s="1"/>
  <c r="B47" i="3"/>
  <c r="J48" i="3"/>
  <c r="K47" i="3"/>
  <c r="H49" i="3"/>
  <c r="B48" i="3" l="1"/>
  <c r="A48" i="3"/>
  <c r="C48" i="3" s="1"/>
  <c r="D48" i="3" s="1"/>
  <c r="K48" i="3"/>
  <c r="J49" i="3"/>
  <c r="H50" i="3"/>
  <c r="A49" i="3" l="1"/>
  <c r="C49" i="3" s="1"/>
  <c r="D49" i="3" s="1"/>
  <c r="B49" i="3"/>
  <c r="J50" i="3"/>
  <c r="K49" i="3"/>
  <c r="H51" i="3"/>
  <c r="B50" i="3" l="1"/>
  <c r="A50" i="3"/>
  <c r="C50" i="3" s="1"/>
  <c r="D50" i="3" s="1"/>
  <c r="K50" i="3"/>
  <c r="J51" i="3"/>
  <c r="H52" i="3"/>
  <c r="A51" i="3" l="1"/>
  <c r="C51" i="3" s="1"/>
  <c r="D51" i="3" s="1"/>
  <c r="B51" i="3"/>
  <c r="K51" i="3"/>
  <c r="J52" i="3"/>
  <c r="H53" i="3"/>
  <c r="B52" i="3" l="1"/>
  <c r="A52" i="3"/>
  <c r="C52" i="3" s="1"/>
  <c r="D52" i="3" s="1"/>
  <c r="J53" i="3"/>
  <c r="K52" i="3"/>
  <c r="H54" i="3"/>
  <c r="A53" i="3" l="1"/>
  <c r="C53" i="3" s="1"/>
  <c r="D53" i="3" s="1"/>
  <c r="B53" i="3"/>
  <c r="J54" i="3"/>
  <c r="K53" i="3"/>
  <c r="H55" i="3"/>
  <c r="B54" i="3" l="1"/>
  <c r="A54" i="3"/>
  <c r="C54" i="3" s="1"/>
  <c r="D54" i="3" s="1"/>
  <c r="K54" i="3"/>
  <c r="J55" i="3"/>
  <c r="H56" i="3"/>
  <c r="A55" i="3" l="1"/>
  <c r="C55" i="3" s="1"/>
  <c r="D55" i="3" s="1"/>
  <c r="B55" i="3"/>
  <c r="J56" i="3"/>
  <c r="K55" i="3"/>
  <c r="H57" i="3"/>
  <c r="B56" i="3" l="1"/>
  <c r="A56" i="3"/>
  <c r="C56" i="3" s="1"/>
  <c r="D56" i="3" s="1"/>
  <c r="K56" i="3"/>
  <c r="J57" i="3"/>
  <c r="H58" i="3"/>
  <c r="B57" i="3" l="1"/>
  <c r="A57" i="3"/>
  <c r="C57" i="3" s="1"/>
  <c r="D57" i="3" s="1"/>
  <c r="J58" i="3"/>
  <c r="K57" i="3"/>
  <c r="H59" i="3"/>
  <c r="B58" i="3" l="1"/>
  <c r="A58" i="3"/>
  <c r="C58" i="3" s="1"/>
  <c r="D58" i="3" s="1"/>
  <c r="J59" i="3"/>
  <c r="K58" i="3"/>
  <c r="H60" i="3"/>
  <c r="B59" i="3" l="1"/>
  <c r="A59" i="3"/>
  <c r="C59" i="3" s="1"/>
  <c r="D59" i="3" s="1"/>
  <c r="J60" i="3"/>
  <c r="K59" i="3"/>
  <c r="H61" i="3"/>
  <c r="A60" i="3" l="1"/>
  <c r="C60" i="3" s="1"/>
  <c r="D60" i="3" s="1"/>
  <c r="B60" i="3"/>
  <c r="K60" i="3"/>
  <c r="J61" i="3"/>
  <c r="H62" i="3"/>
  <c r="B61" i="3" l="1"/>
  <c r="A61" i="3"/>
  <c r="C61" i="3" s="1"/>
  <c r="D61" i="3" s="1"/>
  <c r="J62" i="3"/>
  <c r="K61" i="3"/>
  <c r="H63" i="3"/>
  <c r="A62" i="3" l="1"/>
  <c r="C62" i="3" s="1"/>
  <c r="D62" i="3" s="1"/>
  <c r="B62" i="3"/>
  <c r="J63" i="3"/>
  <c r="K62" i="3"/>
  <c r="H64" i="3"/>
  <c r="B63" i="3" l="1"/>
  <c r="A63" i="3"/>
  <c r="C63" i="3" s="1"/>
  <c r="D63" i="3" s="1"/>
  <c r="K63" i="3"/>
  <c r="J64" i="3"/>
  <c r="H65" i="3"/>
  <c r="A64" i="3" l="1"/>
  <c r="C64" i="3" s="1"/>
  <c r="D64" i="3" s="1"/>
  <c r="B64" i="3"/>
  <c r="J65" i="3"/>
  <c r="K64" i="3"/>
  <c r="H66" i="3"/>
  <c r="A65" i="3" l="1"/>
  <c r="C65" i="3" s="1"/>
  <c r="D65" i="3" s="1"/>
  <c r="B65" i="3"/>
  <c r="K65" i="3"/>
  <c r="J66" i="3"/>
  <c r="H67" i="3"/>
  <c r="B66" i="3" l="1"/>
  <c r="A66" i="3"/>
  <c r="C66" i="3" s="1"/>
  <c r="D66" i="3" s="1"/>
  <c r="J67" i="3"/>
  <c r="K66" i="3"/>
  <c r="H68" i="3"/>
  <c r="A67" i="3" l="1"/>
  <c r="C67" i="3" s="1"/>
  <c r="D67" i="3" s="1"/>
  <c r="B67" i="3"/>
  <c r="K67" i="3"/>
  <c r="J68" i="3"/>
  <c r="H69" i="3"/>
  <c r="B68" i="3" l="1"/>
  <c r="A68" i="3"/>
  <c r="C68" i="3" s="1"/>
  <c r="D68" i="3" s="1"/>
  <c r="J69" i="3"/>
  <c r="K68" i="3"/>
  <c r="H70" i="3"/>
  <c r="A69" i="3" l="1"/>
  <c r="C69" i="3" s="1"/>
  <c r="D69" i="3" s="1"/>
  <c r="B69" i="3"/>
  <c r="J70" i="3"/>
  <c r="K69" i="3"/>
  <c r="H71" i="3"/>
  <c r="B70" i="3" l="1"/>
  <c r="A70" i="3"/>
  <c r="C70" i="3" s="1"/>
  <c r="D70" i="3" s="1"/>
  <c r="J71" i="3"/>
  <c r="K70" i="3"/>
  <c r="H72" i="3"/>
  <c r="A71" i="3" l="1"/>
  <c r="C71" i="3" s="1"/>
  <c r="D71" i="3" s="1"/>
  <c r="B71" i="3"/>
  <c r="J72" i="3"/>
  <c r="H73" i="3"/>
  <c r="K71" i="3"/>
  <c r="B72" i="3" l="1"/>
  <c r="A72" i="3"/>
  <c r="C72" i="3" s="1"/>
  <c r="D72" i="3" s="1"/>
  <c r="J73" i="3"/>
  <c r="K72" i="3"/>
  <c r="H74" i="3"/>
  <c r="B73" i="3" l="1"/>
  <c r="A73" i="3"/>
  <c r="C73" i="3" s="1"/>
  <c r="D73" i="3" s="1"/>
  <c r="K73" i="3"/>
  <c r="J74" i="3"/>
  <c r="H75" i="3"/>
  <c r="A74" i="3" l="1"/>
  <c r="C74" i="3" s="1"/>
  <c r="D74" i="3" s="1"/>
  <c r="B74" i="3"/>
  <c r="J75" i="3"/>
  <c r="K74" i="3"/>
  <c r="H76" i="3"/>
  <c r="A75" i="3" l="1"/>
  <c r="C75" i="3" s="1"/>
  <c r="D75" i="3" s="1"/>
  <c r="B75" i="3"/>
  <c r="J76" i="3"/>
  <c r="H77" i="3"/>
  <c r="K75" i="3"/>
  <c r="A76" i="3" l="1"/>
  <c r="C76" i="3" s="1"/>
  <c r="D76" i="3" s="1"/>
  <c r="B76" i="3"/>
  <c r="K76" i="3"/>
  <c r="J77" i="3"/>
  <c r="H78" i="3"/>
  <c r="B77" i="3" l="1"/>
  <c r="A77" i="3"/>
  <c r="C77" i="3" s="1"/>
  <c r="D77" i="3" s="1"/>
  <c r="J78" i="3"/>
  <c r="K77" i="3"/>
  <c r="H79" i="3"/>
  <c r="B78" i="3" l="1"/>
  <c r="A78" i="3"/>
  <c r="C78" i="3" s="1"/>
  <c r="D78" i="3" s="1"/>
  <c r="J79" i="3"/>
  <c r="K78" i="3"/>
  <c r="H80" i="3"/>
  <c r="B79" i="3" l="1"/>
  <c r="A79" i="3"/>
  <c r="C79" i="3" s="1"/>
  <c r="D79" i="3" s="1"/>
  <c r="J80" i="3"/>
  <c r="K79" i="3"/>
  <c r="H81" i="3"/>
  <c r="A80" i="3" l="1"/>
  <c r="C80" i="3" s="1"/>
  <c r="D80" i="3" s="1"/>
  <c r="B80" i="3"/>
  <c r="J81" i="3"/>
  <c r="K80" i="3"/>
  <c r="H82" i="3"/>
  <c r="B81" i="3" l="1"/>
  <c r="A81" i="3"/>
  <c r="C81" i="3" s="1"/>
  <c r="D81" i="3" s="1"/>
  <c r="J82" i="3"/>
  <c r="K81" i="3"/>
  <c r="H83" i="3"/>
  <c r="B82" i="3" l="1"/>
  <c r="A82" i="3"/>
  <c r="C82" i="3" s="1"/>
  <c r="D82" i="3" s="1"/>
  <c r="J83" i="3"/>
  <c r="K82" i="3"/>
  <c r="H84" i="3"/>
  <c r="A83" i="3" l="1"/>
  <c r="C83" i="3" s="1"/>
  <c r="D83" i="3" s="1"/>
  <c r="B83" i="3"/>
  <c r="K83" i="3"/>
  <c r="J84" i="3"/>
  <c r="H85" i="3"/>
  <c r="B84" i="3" l="1"/>
  <c r="A84" i="3"/>
  <c r="C84" i="3" s="1"/>
  <c r="D84" i="3" s="1"/>
  <c r="K84" i="3"/>
  <c r="J85" i="3"/>
  <c r="H86" i="3"/>
  <c r="A85" i="3" l="1"/>
  <c r="C85" i="3" s="1"/>
  <c r="D85" i="3" s="1"/>
  <c r="B85" i="3"/>
  <c r="K85" i="3"/>
  <c r="J86" i="3"/>
  <c r="H87" i="3"/>
  <c r="A86" i="3" l="1"/>
  <c r="C86" i="3" s="1"/>
  <c r="D86" i="3" s="1"/>
  <c r="B86" i="3"/>
  <c r="J87" i="3"/>
  <c r="K86" i="3"/>
  <c r="H88" i="3"/>
  <c r="A87" i="3" l="1"/>
  <c r="C87" i="3" s="1"/>
  <c r="D87" i="3" s="1"/>
  <c r="B87" i="3"/>
  <c r="K87" i="3"/>
  <c r="J88" i="3"/>
  <c r="H89" i="3"/>
  <c r="A88" i="3" l="1"/>
  <c r="C88" i="3" s="1"/>
  <c r="D88" i="3" s="1"/>
  <c r="B88" i="3"/>
  <c r="J89" i="3"/>
  <c r="H90" i="3"/>
  <c r="K88" i="3"/>
  <c r="A89" i="3" l="1"/>
  <c r="C89" i="3" s="1"/>
  <c r="D89" i="3" s="1"/>
  <c r="B89" i="3"/>
  <c r="J90" i="3"/>
  <c r="H91" i="3"/>
  <c r="K89" i="3"/>
  <c r="A90" i="3" l="1"/>
  <c r="C90" i="3" s="1"/>
  <c r="D90" i="3" s="1"/>
  <c r="B90" i="3"/>
  <c r="J91" i="3"/>
  <c r="K90" i="3"/>
  <c r="H92" i="3"/>
  <c r="B91" i="3" l="1"/>
  <c r="A91" i="3"/>
  <c r="C91" i="3" s="1"/>
  <c r="D91" i="3" s="1"/>
  <c r="J92" i="3"/>
  <c r="K91" i="3"/>
  <c r="H93" i="3"/>
  <c r="A92" i="3" l="1"/>
  <c r="C92" i="3" s="1"/>
  <c r="D92" i="3" s="1"/>
  <c r="B92" i="3"/>
  <c r="K92" i="3"/>
  <c r="J93" i="3"/>
  <c r="H94" i="3"/>
  <c r="A93" i="3" l="1"/>
  <c r="C93" i="3" s="1"/>
  <c r="D93" i="3" s="1"/>
  <c r="B93" i="3"/>
  <c r="J94" i="3"/>
  <c r="H95" i="3"/>
  <c r="K93" i="3"/>
  <c r="A94" i="3" l="1"/>
  <c r="C94" i="3" s="1"/>
  <c r="D94" i="3" s="1"/>
  <c r="B94" i="3"/>
  <c r="J95" i="3"/>
  <c r="H96" i="3"/>
  <c r="K94" i="3"/>
  <c r="A95" i="3" l="1"/>
  <c r="C95" i="3" s="1"/>
  <c r="D95" i="3" s="1"/>
  <c r="B95" i="3"/>
  <c r="K95" i="3"/>
  <c r="J96" i="3"/>
  <c r="H97" i="3"/>
  <c r="B96" i="3" l="1"/>
  <c r="A96" i="3"/>
  <c r="C96" i="3" s="1"/>
  <c r="D96" i="3" s="1"/>
  <c r="J97" i="3"/>
  <c r="K96" i="3"/>
  <c r="H98" i="3"/>
  <c r="A97" i="3" l="1"/>
  <c r="C97" i="3" s="1"/>
  <c r="D97" i="3" s="1"/>
  <c r="B97" i="3"/>
  <c r="J98" i="3"/>
  <c r="K97" i="3"/>
  <c r="H99" i="3"/>
  <c r="B98" i="3" l="1"/>
  <c r="A98" i="3"/>
  <c r="C98" i="3" s="1"/>
  <c r="D98" i="3" s="1"/>
  <c r="J99" i="3"/>
  <c r="K98" i="3"/>
  <c r="H100" i="3"/>
  <c r="A99" i="3" l="1"/>
  <c r="C99" i="3" s="1"/>
  <c r="D99" i="3" s="1"/>
  <c r="B99" i="3"/>
  <c r="J100" i="3"/>
  <c r="H101" i="3"/>
  <c r="K99" i="3"/>
  <c r="A100" i="3" l="1"/>
  <c r="C100" i="3" s="1"/>
  <c r="D100" i="3" s="1"/>
  <c r="B100" i="3"/>
  <c r="J101" i="3"/>
  <c r="K100" i="3"/>
  <c r="H102" i="3"/>
  <c r="B101" i="3" l="1"/>
  <c r="A101" i="3"/>
  <c r="C101" i="3" s="1"/>
  <c r="D101" i="3" s="1"/>
  <c r="J102" i="3"/>
  <c r="K101" i="3"/>
  <c r="H103" i="3"/>
  <c r="A102" i="3" l="1"/>
  <c r="C102" i="3" s="1"/>
  <c r="D102" i="3" s="1"/>
  <c r="B102" i="3"/>
  <c r="J103" i="3"/>
  <c r="K102" i="3"/>
  <c r="H104" i="3"/>
  <c r="A103" i="3" l="1"/>
  <c r="C103" i="3" s="1"/>
  <c r="D103" i="3" s="1"/>
  <c r="B103" i="3"/>
  <c r="J104" i="3"/>
  <c r="H105" i="3"/>
  <c r="K103" i="3"/>
  <c r="A104" i="3" l="1"/>
  <c r="C104" i="3" s="1"/>
  <c r="D104" i="3" s="1"/>
  <c r="B104" i="3"/>
  <c r="J105" i="3"/>
  <c r="K104" i="3"/>
  <c r="H106" i="3"/>
  <c r="A105" i="3" l="1"/>
  <c r="C105" i="3" s="1"/>
  <c r="D105" i="3" s="1"/>
  <c r="B105" i="3"/>
  <c r="J106" i="3"/>
  <c r="K105" i="3"/>
  <c r="H107" i="3"/>
  <c r="A106" i="3" l="1"/>
  <c r="C106" i="3" s="1"/>
  <c r="D106" i="3" s="1"/>
  <c r="B106" i="3"/>
  <c r="J107" i="3"/>
  <c r="K106" i="3"/>
  <c r="H108" i="3"/>
  <c r="B107" i="3" l="1"/>
  <c r="A107" i="3"/>
  <c r="C107" i="3" s="1"/>
  <c r="D107" i="3" s="1"/>
  <c r="K107" i="3"/>
  <c r="J108" i="3"/>
  <c r="H109" i="3"/>
  <c r="A108" i="3" l="1"/>
  <c r="C108" i="3" s="1"/>
  <c r="D108" i="3" s="1"/>
  <c r="B108" i="3"/>
  <c r="K108" i="3"/>
  <c r="J109" i="3"/>
  <c r="H110" i="3"/>
  <c r="B109" i="3" l="1"/>
  <c r="A109" i="3"/>
  <c r="C109" i="3" s="1"/>
  <c r="D109" i="3" s="1"/>
  <c r="K109" i="3"/>
  <c r="J110" i="3"/>
  <c r="H111" i="3"/>
  <c r="B110" i="3" l="1"/>
  <c r="A110" i="3"/>
  <c r="C110" i="3" s="1"/>
  <c r="D110" i="3" s="1"/>
  <c r="H112" i="3"/>
  <c r="A112" i="3" s="1"/>
  <c r="C112" i="3" s="1"/>
  <c r="D112" i="3" s="1"/>
  <c r="E111" i="3"/>
  <c r="J111" i="3"/>
  <c r="A111" i="3"/>
  <c r="C111" i="3" s="1"/>
  <c r="D111" i="3" s="1"/>
  <c r="K111" i="3"/>
  <c r="B111" i="3"/>
  <c r="J112" i="3"/>
  <c r="B112" i="3"/>
  <c r="H113" i="3"/>
  <c r="A113" i="3" s="1"/>
  <c r="C113" i="3" s="1"/>
  <c r="D113" i="3" s="1"/>
  <c r="K110" i="3"/>
  <c r="K112" i="3" l="1"/>
  <c r="E112" i="3"/>
  <c r="B113" i="3"/>
  <c r="E113" i="3"/>
  <c r="J113" i="3"/>
  <c r="H114" i="3"/>
  <c r="A114" i="3" s="1"/>
  <c r="C114" i="3" s="1"/>
  <c r="D114" i="3" s="1"/>
  <c r="K113" i="3"/>
  <c r="H115" i="3" l="1"/>
  <c r="B115" i="3" s="1"/>
  <c r="E114" i="3"/>
  <c r="B114" i="3"/>
  <c r="K114" i="3"/>
  <c r="J114" i="3"/>
  <c r="K115" i="3" l="1"/>
  <c r="J115" i="3"/>
  <c r="H116" i="3"/>
  <c r="E116" i="3" s="1"/>
  <c r="E115" i="3"/>
  <c r="A115" i="3"/>
  <c r="C115" i="3" s="1"/>
  <c r="D115" i="3" s="1"/>
  <c r="A116" i="3" l="1"/>
  <c r="C116" i="3" s="1"/>
  <c r="D116" i="3" s="1"/>
  <c r="H117" i="3"/>
  <c r="K117" i="3" s="1"/>
  <c r="K116" i="3"/>
  <c r="J116" i="3"/>
  <c r="B116" i="3"/>
  <c r="J117" i="3" l="1"/>
  <c r="H118" i="3"/>
  <c r="K118" i="3" s="1"/>
  <c r="A117" i="3"/>
  <c r="C117" i="3" s="1"/>
  <c r="D117" i="3" s="1"/>
  <c r="E117" i="3"/>
  <c r="B117" i="3"/>
  <c r="E118" i="3" l="1"/>
  <c r="J118" i="3"/>
  <c r="B118" i="3"/>
  <c r="A118" i="3"/>
  <c r="C118" i="3" s="1"/>
  <c r="D118" i="3" s="1"/>
  <c r="H119" i="3"/>
  <c r="K119" i="3" s="1"/>
  <c r="E119" i="3" l="1"/>
  <c r="A119" i="3"/>
  <c r="C119" i="3" s="1"/>
  <c r="D119" i="3" s="1"/>
  <c r="H120" i="3"/>
  <c r="B120" i="3" s="1"/>
  <c r="B119" i="3"/>
  <c r="J119" i="3"/>
  <c r="K120" i="3"/>
  <c r="J120" i="3"/>
  <c r="H121" i="3"/>
  <c r="A120" i="3"/>
  <c r="C120" i="3" s="1"/>
  <c r="D120" i="3" s="1"/>
  <c r="E120" i="3"/>
  <c r="B121" i="3" l="1"/>
  <c r="H122" i="3"/>
  <c r="A121" i="3"/>
  <c r="C121" i="3" s="1"/>
  <c r="D121" i="3" s="1"/>
  <c r="J121" i="3"/>
  <c r="E121" i="3"/>
  <c r="K121" i="3"/>
  <c r="H123" i="3" l="1"/>
  <c r="J122" i="3"/>
  <c r="A122" i="3"/>
  <c r="C122" i="3" s="1"/>
  <c r="D122" i="3" s="1"/>
  <c r="K122" i="3"/>
  <c r="B122" i="3"/>
  <c r="E122" i="3"/>
  <c r="H124" i="3" l="1"/>
  <c r="A123" i="3"/>
  <c r="C123" i="3" s="1"/>
  <c r="D123" i="3" s="1"/>
  <c r="J123" i="3"/>
  <c r="K123" i="3"/>
  <c r="B123" i="3"/>
  <c r="E123" i="3"/>
  <c r="A124" i="3" l="1"/>
  <c r="C124" i="3" s="1"/>
  <c r="D124" i="3" s="1"/>
  <c r="H125" i="3"/>
  <c r="E124" i="3"/>
  <c r="J124" i="3"/>
  <c r="K124" i="3"/>
  <c r="B124" i="3"/>
  <c r="K125" i="3" l="1"/>
  <c r="B125" i="3"/>
  <c r="A125" i="3"/>
  <c r="C125" i="3" s="1"/>
  <c r="D125" i="3" s="1"/>
  <c r="H126" i="3"/>
  <c r="J125" i="3"/>
  <c r="E125" i="3"/>
  <c r="K126" i="3" l="1"/>
  <c r="A126" i="3"/>
  <c r="C126" i="3" s="1"/>
  <c r="D126" i="3" s="1"/>
  <c r="B126" i="3"/>
  <c r="H127" i="3"/>
  <c r="J126" i="3"/>
  <c r="E126" i="3"/>
  <c r="K127" i="3" l="1"/>
  <c r="B127" i="3"/>
  <c r="H128" i="3"/>
  <c r="E127" i="3"/>
  <c r="A127" i="3"/>
  <c r="C127" i="3" s="1"/>
  <c r="D127" i="3" s="1"/>
  <c r="J127" i="3"/>
  <c r="K128" i="3" l="1"/>
  <c r="A128" i="3"/>
  <c r="C128" i="3" s="1"/>
  <c r="D128" i="3" s="1"/>
  <c r="E128" i="3"/>
  <c r="J128" i="3"/>
  <c r="H129" i="3"/>
  <c r="B128" i="3"/>
  <c r="K129" i="3" l="1"/>
  <c r="B129" i="3"/>
  <c r="H130" i="3"/>
  <c r="E129" i="3"/>
  <c r="A129" i="3"/>
  <c r="C129" i="3" s="1"/>
  <c r="D129" i="3" s="1"/>
  <c r="J129" i="3"/>
  <c r="B130" i="3" l="1"/>
  <c r="J130" i="3"/>
  <c r="H131" i="3"/>
  <c r="A130" i="3"/>
  <c r="C130" i="3" s="1"/>
  <c r="D130" i="3" s="1"/>
  <c r="E130" i="3"/>
  <c r="K130" i="3"/>
  <c r="J131" i="3" l="1"/>
  <c r="H132" i="3"/>
  <c r="E131" i="3"/>
  <c r="A131" i="3"/>
  <c r="C131" i="3" s="1"/>
  <c r="D131" i="3" s="1"/>
  <c r="B131" i="3"/>
  <c r="K131" i="3"/>
  <c r="A132" i="3" l="1"/>
  <c r="C132" i="3" s="1"/>
  <c r="D132" i="3" s="1"/>
  <c r="H133" i="3"/>
  <c r="J132" i="3"/>
  <c r="B132" i="3"/>
  <c r="K132" i="3"/>
  <c r="E132" i="3"/>
  <c r="E133" i="3" l="1"/>
  <c r="H134" i="3"/>
  <c r="K133" i="3"/>
  <c r="A133" i="3"/>
  <c r="C133" i="3" s="1"/>
  <c r="D133" i="3" s="1"/>
  <c r="J133" i="3"/>
  <c r="B133" i="3"/>
  <c r="B134" i="3" l="1"/>
  <c r="A134" i="3"/>
  <c r="C134" i="3" s="1"/>
  <c r="D134" i="3" s="1"/>
  <c r="J134" i="3"/>
  <c r="K134" i="3"/>
  <c r="E134" i="3"/>
  <c r="H135" i="3"/>
  <c r="A135" i="3" l="1"/>
  <c r="C135" i="3" s="1"/>
  <c r="D135" i="3" s="1"/>
  <c r="J135" i="3"/>
  <c r="B135" i="3"/>
  <c r="H136" i="3"/>
  <c r="E135" i="3"/>
  <c r="K135" i="3"/>
  <c r="B136" i="3" l="1"/>
  <c r="J136" i="3"/>
  <c r="E136" i="3"/>
  <c r="A136" i="3"/>
  <c r="C136" i="3" s="1"/>
  <c r="D136" i="3" s="1"/>
  <c r="K136" i="3"/>
  <c r="H137" i="3"/>
  <c r="H138" i="3" l="1"/>
  <c r="E137" i="3"/>
  <c r="A137" i="3"/>
  <c r="C137" i="3" s="1"/>
  <c r="D137" i="3" s="1"/>
  <c r="K137" i="3"/>
  <c r="B137" i="3"/>
  <c r="J137" i="3"/>
  <c r="E138" i="3" l="1"/>
  <c r="B138" i="3"/>
  <c r="K138" i="3"/>
  <c r="H139" i="3"/>
  <c r="A138" i="3"/>
  <c r="C138" i="3" s="1"/>
  <c r="D138" i="3" s="1"/>
  <c r="J138" i="3"/>
  <c r="J139" i="3" l="1"/>
  <c r="E139" i="3"/>
  <c r="K139" i="3"/>
  <c r="B139" i="3"/>
  <c r="A139" i="3"/>
  <c r="C139" i="3" s="1"/>
  <c r="D139" i="3" s="1"/>
  <c r="H140" i="3"/>
  <c r="K140" i="3" l="1"/>
  <c r="H141" i="3"/>
  <c r="J140" i="3"/>
  <c r="B140" i="3"/>
  <c r="E140" i="3"/>
  <c r="A140" i="3"/>
  <c r="C140" i="3" s="1"/>
  <c r="D140" i="3" s="1"/>
  <c r="K141" i="3" l="1"/>
  <c r="B141" i="3"/>
  <c r="E141" i="3"/>
  <c r="J141" i="3"/>
  <c r="A141" i="3"/>
  <c r="C141" i="3" s="1"/>
  <c r="D141" i="3" s="1"/>
  <c r="H142" i="3"/>
  <c r="E142" i="3" l="1"/>
  <c r="J142" i="3"/>
  <c r="A142" i="3"/>
  <c r="C142" i="3" s="1"/>
  <c r="D142" i="3" s="1"/>
  <c r="K142" i="3"/>
  <c r="H3" i="3" s="1"/>
  <c r="B142" i="3"/>
  <c r="E17" i="3" l="1"/>
  <c r="E76" i="3"/>
  <c r="E108" i="3"/>
  <c r="E36" i="3"/>
  <c r="E19" i="3"/>
  <c r="E45" i="3"/>
  <c r="E102" i="3"/>
  <c r="E87" i="3"/>
  <c r="E90" i="3"/>
  <c r="E42" i="3"/>
  <c r="E86" i="3"/>
  <c r="E39" i="3"/>
  <c r="E27" i="3"/>
  <c r="E31" i="3"/>
  <c r="E71" i="3"/>
  <c r="E32" i="3"/>
  <c r="E85" i="3"/>
  <c r="E48" i="3"/>
  <c r="E25" i="3"/>
  <c r="E97" i="3"/>
  <c r="E57" i="3"/>
  <c r="E56" i="3"/>
  <c r="E109" i="3"/>
  <c r="E33" i="3"/>
  <c r="E59" i="3"/>
  <c r="E100" i="3"/>
  <c r="E37" i="3"/>
  <c r="E110" i="3"/>
  <c r="E26" i="3"/>
  <c r="E96" i="3"/>
  <c r="E20" i="3"/>
  <c r="E94" i="3"/>
  <c r="E55" i="3"/>
  <c r="E51" i="3"/>
  <c r="E38" i="3"/>
  <c r="E30" i="3"/>
  <c r="E67" i="3"/>
  <c r="E104" i="3"/>
  <c r="E91" i="3"/>
  <c r="E106" i="3"/>
  <c r="E78" i="3"/>
  <c r="E60" i="3"/>
  <c r="E22" i="3"/>
  <c r="E72" i="3"/>
  <c r="E35" i="3"/>
  <c r="E23" i="3"/>
  <c r="E99" i="3"/>
  <c r="E58" i="3"/>
  <c r="E73" i="3"/>
  <c r="E54" i="3"/>
  <c r="E98" i="3"/>
  <c r="E62" i="3"/>
  <c r="E24" i="3"/>
  <c r="E95" i="3"/>
  <c r="E15" i="3"/>
  <c r="E28" i="3"/>
  <c r="E43" i="3"/>
  <c r="E107" i="3"/>
  <c r="E77" i="3"/>
  <c r="E34" i="3"/>
  <c r="E75" i="3"/>
  <c r="E88" i="3"/>
  <c r="E82" i="3"/>
  <c r="E49" i="3"/>
  <c r="E53" i="3"/>
  <c r="E89" i="3"/>
  <c r="E46" i="3"/>
  <c r="E92" i="3"/>
  <c r="E66" i="3"/>
  <c r="E74" i="3"/>
  <c r="E40" i="3"/>
  <c r="E70" i="3"/>
  <c r="E81" i="3"/>
  <c r="E61" i="3"/>
  <c r="E47" i="3"/>
  <c r="E69" i="3"/>
  <c r="E50" i="3"/>
  <c r="E29" i="3"/>
  <c r="E44" i="3"/>
  <c r="E79" i="3"/>
  <c r="E18" i="3"/>
  <c r="E103" i="3"/>
  <c r="E101" i="3"/>
  <c r="E52" i="3"/>
  <c r="E41" i="3"/>
  <c r="E105" i="3"/>
  <c r="E93" i="3"/>
  <c r="E80" i="3"/>
  <c r="E64" i="3"/>
  <c r="E65" i="3"/>
  <c r="E16" i="3"/>
  <c r="E63" i="3"/>
  <c r="E84" i="3"/>
  <c r="E21" i="3"/>
  <c r="E83" i="3"/>
  <c r="E68" i="3"/>
</calcChain>
</file>

<file path=xl/sharedStrings.xml><?xml version="1.0" encoding="utf-8"?>
<sst xmlns="http://schemas.openxmlformats.org/spreadsheetml/2006/main" count="236" uniqueCount="205">
  <si>
    <t>GND</t>
  </si>
  <si>
    <t>REF1</t>
  </si>
  <si>
    <t>REF2</t>
  </si>
  <si>
    <t>X</t>
  </si>
  <si>
    <t>LGA board bottom view</t>
  </si>
  <si>
    <t>wire</t>
  </si>
  <si>
    <t>A</t>
  </si>
  <si>
    <t>B</t>
  </si>
  <si>
    <t>C</t>
  </si>
  <si>
    <t>Elec#</t>
  </si>
  <si>
    <t xml:space="preserve"> pin #</t>
  </si>
  <si>
    <t>Adaptor</t>
  </si>
  <si>
    <t>IDC</t>
  </si>
  <si>
    <t>Functional signal channels</t>
  </si>
  <si>
    <t>Exposed electrode tip height</t>
  </si>
  <si>
    <t>60 ± 40 µm</t>
  </si>
  <si>
    <t>Document Template</t>
  </si>
  <si>
    <t>Doc # DT-0024</t>
  </si>
  <si>
    <t>Page 1 of 1</t>
  </si>
  <si>
    <t>CONFIDENTIAL</t>
  </si>
  <si>
    <t>Electrode Array Metric</t>
  </si>
  <si>
    <t>Accept    /    Reject    (circle one)</t>
  </si>
  <si>
    <t>The impedance values are in [kOhm]</t>
  </si>
  <si>
    <t>Automated Impedance Testing System (When applicable)</t>
  </si>
  <si>
    <t>R14</t>
  </si>
  <si>
    <t>Array Map with Automated Tester</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</si>
  <si>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</si>
  <si>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</si>
  <si>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</si>
  <si>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</si>
  <si>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</si>
  <si>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NeuroPort</t>
  </si>
  <si>
    <t>//</t>
  </si>
  <si>
    <t>// Comments begin with //</t>
  </si>
  <si>
    <t>// First non-comment line is the Mapfile description</t>
  </si>
  <si>
    <t>D 1</t>
  </si>
  <si>
    <t>// Auto generated mapfile</t>
  </si>
  <si>
    <t>90 minimum</t>
  </si>
  <si>
    <t>//col</t>
  </si>
  <si>
    <t>row</t>
  </si>
  <si>
    <t>bank</t>
  </si>
  <si>
    <t>label</t>
  </si>
  <si>
    <t>AO</t>
  </si>
  <si>
    <t>//   col - 0 based column from left to right</t>
  </si>
  <si>
    <t>//   row - 0 based row from bottom to top</t>
  </si>
  <si>
    <t>//   elec - 1 based electrode number within the bank - values can be 1-32</t>
  </si>
  <si>
    <t>//   label - label used to rename channels in Central (optional)</t>
  </si>
  <si>
    <t>//   legend</t>
  </si>
  <si>
    <t>Electrode numbering viewing from pad side</t>
  </si>
  <si>
    <t>Broken elec / Fracture shaft</t>
  </si>
  <si>
    <t>Elec. 80-100: 92% minimum
Elec. 36-79: 89% minimum
Elec. 16-35: 88% minimum
Elec. 1-15: 100% minimum</t>
  </si>
  <si>
    <t>wire bundle</t>
  </si>
  <si>
    <t>Electrode Impedance viewing from pad side</t>
  </si>
  <si>
    <t>Final Array Assembly Impedance Data</t>
  </si>
  <si>
    <t>//   bank - bank name - values can be A B C or D</t>
  </si>
  <si>
    <t>Each Array in Cereport assembly</t>
  </si>
  <si>
    <r>
      <t xml:space="preserve">100kOhm - 800kOhm       </t>
    </r>
    <r>
      <rPr>
        <sz val="8"/>
        <rFont val="Wingdings"/>
        <charset val="2"/>
      </rPr>
      <t>o</t>
    </r>
  </si>
  <si>
    <r>
      <t xml:space="preserve">1kOhm - 80kOhm            </t>
    </r>
    <r>
      <rPr>
        <sz val="8"/>
        <rFont val="Wingdings"/>
        <charset val="2"/>
      </rPr>
      <t>o</t>
    </r>
  </si>
  <si>
    <t>Impedance (Platinum)</t>
  </si>
  <si>
    <t>Impedance (Iridium Oxide)</t>
  </si>
  <si>
    <t>elec97</t>
  </si>
  <si>
    <t>elec98</t>
  </si>
  <si>
    <t>elec99</t>
  </si>
  <si>
    <t>elec100</t>
  </si>
  <si>
    <t>elec101</t>
  </si>
  <si>
    <t>elec102</t>
  </si>
  <si>
    <t>elec103</t>
  </si>
  <si>
    <t>elec104</t>
  </si>
  <si>
    <t>elec105</t>
  </si>
  <si>
    <t>elec106</t>
  </si>
  <si>
    <t>elec107</t>
  </si>
  <si>
    <t>elec108</t>
  </si>
  <si>
    <t>elec109</t>
  </si>
  <si>
    <t>elec110</t>
  </si>
  <si>
    <t>elec111</t>
  </si>
  <si>
    <t>elec112</t>
  </si>
  <si>
    <t>elec113</t>
  </si>
  <si>
    <t>elec114</t>
  </si>
  <si>
    <t>elec115</t>
  </si>
  <si>
    <t>elec116</t>
  </si>
  <si>
    <t>elec117</t>
  </si>
  <si>
    <t>elec118</t>
  </si>
  <si>
    <t>elec119</t>
  </si>
  <si>
    <t>elec120</t>
  </si>
  <si>
    <t>elec121</t>
  </si>
  <si>
    <t>elec122</t>
  </si>
  <si>
    <t>elec123</t>
  </si>
  <si>
    <t>elec124</t>
  </si>
  <si>
    <t>elec125</t>
  </si>
  <si>
    <t>elec126</t>
  </si>
  <si>
    <t>elec127</t>
  </si>
  <si>
    <t>elec128</t>
  </si>
  <si>
    <t>D</t>
  </si>
  <si>
    <t>5 Max, Not adjacent</t>
  </si>
  <si>
    <t>5 Max</t>
  </si>
  <si>
    <t xml:space="preserve"> </t>
  </si>
  <si>
    <t>Rev 17.00</t>
  </si>
  <si>
    <t>ECO 21-170</t>
  </si>
  <si>
    <t>NSP SN:   4176-0009</t>
  </si>
  <si>
    <t>CerePlex-E128 SN:  8010-12968</t>
  </si>
  <si>
    <t>Digital Hub SN:   6975-015189</t>
  </si>
  <si>
    <r>
      <t xml:space="preserve">1kOhm - 80kOhm         </t>
    </r>
    <r>
      <rPr>
        <sz val="8"/>
        <rFont val="Wingdings"/>
        <charset val="2"/>
      </rPr>
      <t>¨</t>
    </r>
  </si>
  <si>
    <r>
      <t xml:space="preserve">20kOhm - 800kOhm    </t>
    </r>
    <r>
      <rPr>
        <sz val="8"/>
        <rFont val="Wingdings"/>
        <charset val="2"/>
      </rPr>
      <t>þ</t>
    </r>
  </si>
  <si>
    <t>Technician: Hoa Dinh</t>
  </si>
  <si>
    <t>Date: 2/7/2024</t>
  </si>
  <si>
    <t>Array Size#  10 x 10</t>
  </si>
  <si>
    <t>SO-50014653</t>
  </si>
  <si>
    <t>Array #  1138-34</t>
  </si>
  <si>
    <t>SN:1025-004419</t>
  </si>
  <si>
    <t xml:space="preserve">   elec1</t>
  </si>
  <si>
    <t xml:space="preserve">   elec2</t>
  </si>
  <si>
    <t xml:space="preserve">   elec3</t>
  </si>
  <si>
    <t xml:space="preserve">   elec4</t>
  </si>
  <si>
    <t xml:space="preserve">   elec5</t>
  </si>
  <si>
    <t xml:space="preserve">   elec6</t>
  </si>
  <si>
    <t xml:space="preserve">   elec7</t>
  </si>
  <si>
    <t xml:space="preserve">   elec8</t>
  </si>
  <si>
    <t xml:space="preserve">   elec9</t>
  </si>
  <si>
    <t xml:space="preserve">   elec10</t>
  </si>
  <si>
    <t xml:space="preserve">   elec11</t>
  </si>
  <si>
    <t xml:space="preserve">   elec12</t>
  </si>
  <si>
    <t xml:space="preserve">   elec13</t>
  </si>
  <si>
    <t xml:space="preserve">   elec14</t>
  </si>
  <si>
    <t xml:space="preserve">   elec15</t>
  </si>
  <si>
    <t xml:space="preserve">   elec16</t>
  </si>
  <si>
    <t xml:space="preserve">   elec17</t>
  </si>
  <si>
    <t xml:space="preserve">   elec18</t>
  </si>
  <si>
    <t xml:space="preserve">   elec19</t>
  </si>
  <si>
    <t xml:space="preserve">   elec20</t>
  </si>
  <si>
    <t xml:space="preserve">   elec21</t>
  </si>
  <si>
    <t xml:space="preserve">   elec22</t>
  </si>
  <si>
    <t xml:space="preserve">   elec23</t>
  </si>
  <si>
    <t xml:space="preserve">   elec24</t>
  </si>
  <si>
    <t xml:space="preserve">   elec25</t>
  </si>
  <si>
    <t xml:space="preserve">   elec26</t>
  </si>
  <si>
    <t xml:space="preserve">   elec27</t>
  </si>
  <si>
    <t xml:space="preserve">   elec28</t>
  </si>
  <si>
    <t xml:space="preserve">   elec29</t>
  </si>
  <si>
    <t xml:space="preserve">   elec30</t>
  </si>
  <si>
    <t xml:space="preserve">   elec31</t>
  </si>
  <si>
    <t xml:space="preserve">   elec32</t>
  </si>
  <si>
    <t xml:space="preserve">   elec33</t>
  </si>
  <si>
    <t xml:space="preserve">   elec34</t>
  </si>
  <si>
    <t xml:space="preserve">   elec35</t>
  </si>
  <si>
    <t xml:space="preserve">   elec36</t>
  </si>
  <si>
    <t xml:space="preserve">   elec37</t>
  </si>
  <si>
    <t xml:space="preserve">   elec38</t>
  </si>
  <si>
    <t xml:space="preserve">   elec39</t>
  </si>
  <si>
    <t xml:space="preserve">   elec40</t>
  </si>
  <si>
    <t xml:space="preserve">   elec41</t>
  </si>
  <si>
    <t xml:space="preserve">   elec42</t>
  </si>
  <si>
    <t xml:space="preserve">   elec43</t>
  </si>
  <si>
    <t xml:space="preserve">   elec44</t>
  </si>
  <si>
    <t xml:space="preserve">   elec45</t>
  </si>
  <si>
    <t xml:space="preserve">   elec46</t>
  </si>
  <si>
    <t xml:space="preserve">   elec47</t>
  </si>
  <si>
    <t xml:space="preserve">   elec48</t>
  </si>
  <si>
    <t xml:space="preserve">   elec49</t>
  </si>
  <si>
    <t xml:space="preserve">   elec50</t>
  </si>
  <si>
    <t xml:space="preserve">   elec51</t>
  </si>
  <si>
    <t xml:space="preserve">   elec52</t>
  </si>
  <si>
    <t xml:space="preserve">   elec53</t>
  </si>
  <si>
    <t xml:space="preserve">   elec54</t>
  </si>
  <si>
    <t xml:space="preserve">   elec55</t>
  </si>
  <si>
    <t xml:space="preserve">   elec56</t>
  </si>
  <si>
    <t xml:space="preserve">   elec57</t>
  </si>
  <si>
    <t xml:space="preserve">   elec58</t>
  </si>
  <si>
    <t xml:space="preserve">   elec59</t>
  </si>
  <si>
    <t xml:space="preserve">   elec60</t>
  </si>
  <si>
    <t xml:space="preserve">   elec61</t>
  </si>
  <si>
    <t xml:space="preserve">   elec62</t>
  </si>
  <si>
    <t xml:space="preserve">   elec63</t>
  </si>
  <si>
    <t xml:space="preserve">   elec64</t>
  </si>
  <si>
    <t xml:space="preserve">   elec65</t>
  </si>
  <si>
    <t xml:space="preserve">   elec66</t>
  </si>
  <si>
    <t xml:space="preserve">   elec67</t>
  </si>
  <si>
    <t xml:space="preserve">   elec68</t>
  </si>
  <si>
    <t xml:space="preserve">   elec69</t>
  </si>
  <si>
    <t xml:space="preserve">   elec70</t>
  </si>
  <si>
    <t xml:space="preserve">   elec71</t>
  </si>
  <si>
    <t xml:space="preserve">   elec72</t>
  </si>
  <si>
    <t xml:space="preserve">   elec73</t>
  </si>
  <si>
    <t xml:space="preserve">   elec74</t>
  </si>
  <si>
    <t xml:space="preserve">   elec75</t>
  </si>
  <si>
    <t xml:space="preserve">   elec76</t>
  </si>
  <si>
    <t xml:space="preserve">   elec77</t>
  </si>
  <si>
    <t xml:space="preserve">   elec78</t>
  </si>
  <si>
    <t xml:space="preserve">   elec79</t>
  </si>
  <si>
    <t xml:space="preserve">   elec80</t>
  </si>
  <si>
    <t xml:space="preserve">   elec81</t>
  </si>
  <si>
    <t xml:space="preserve">   elec82</t>
  </si>
  <si>
    <t xml:space="preserve">   elec83</t>
  </si>
  <si>
    <t xml:space="preserve">   elec84</t>
  </si>
  <si>
    <t xml:space="preserve">   elec85</t>
  </si>
  <si>
    <t xml:space="preserve">   elec86</t>
  </si>
  <si>
    <t xml:space="preserve">   elec87</t>
  </si>
  <si>
    <t xml:space="preserve">   elec88</t>
  </si>
  <si>
    <t xml:space="preserve">   elec89</t>
  </si>
  <si>
    <t xml:space="preserve">   elec90</t>
  </si>
  <si>
    <t xml:space="preserve">   elec91</t>
  </si>
  <si>
    <t xml:space="preserve">   elec92</t>
  </si>
  <si>
    <t xml:space="preserve">   elec93</t>
  </si>
  <si>
    <t xml:space="preserve">   elec94</t>
  </si>
  <si>
    <t xml:space="preserve">   elec95</t>
  </si>
  <si>
    <t xml:space="preserve">   elec96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</si>
</sst>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4" x14ac:knownFonts="1">
    <font>
      <sz val="10"/>
      <name val="Arial"/>
    </font>
    <font>
      <sz val="10"/>
      <name val="Times New Roman"/>
      <family val="1"/>
    </font>
    <font>
      <sz val="8"/>
      <name val="Times New Roman"/>
      <family val="1"/>
    </font>
    <font>
      <sz val="7"/>
      <name val="Times New Roman"/>
      <family val="1"/>
    </font>
    <font>
      <b/>
      <sz val="10"/>
      <name val="Arial"/>
      <family val="2"/>
    </font>
    <font>
      <b/>
      <sz val="5"/>
      <name val="Times New Roman"/>
      <family val="1"/>
    </font>
    <font>
      <sz val="9"/>
      <name val="Times New Roman"/>
      <family val="1"/>
    </font>
    <font>
      <sz val="7"/>
      <name val="Arial"/>
      <family val="2"/>
    </font>
    <font>
      <sz val="8"/>
      <name val="Arial"/>
      <family val="2"/>
    </font>
    <font>
      <b/>
      <sz val="8"/>
      <name val="Arial"/>
      <family val="2"/>
    </font>
    <font>
      <b/>
      <sz val="7"/>
      <name val="Arial"/>
      <family val="2"/>
    </font>
    <font>
      <b/>
      <sz val="8"/>
      <name val="Times New Roman"/>
      <family val="1"/>
    </font>
    <font>
      <i/>
      <sz val="8"/>
      <name val="Times New Roman"/>
      <family val="1"/>
    </font>
    <font>
      <sz val="9"/>
      <name val="Arial"/>
      <family val="2"/>
    </font>
    <font>
      <sz val="12"/>
      <name val="Times New Roman"/>
      <family val="1"/>
    </font>
    <font>
      <sz val="8"/>
      <name val="Arial"/>
      <family val="2"/>
    </font>
    <font>
      <b/>
      <sz val="9"/>
      <name val="Arial"/>
      <family val="2"/>
    </font>
    <font>
      <sz val="6"/>
      <name val="Times New Roman"/>
      <family val="1"/>
    </font>
    <font>
      <sz val="5"/>
      <name val="Times New Roman"/>
      <family val="1"/>
    </font>
    <font>
      <sz val="10"/>
      <name val="Arial"/>
      <family val="2"/>
    </font>
    <font>
      <sz val="10"/>
      <name val="Arial"/>
      <family val="2"/>
    </font>
    <font>
      <b/>
      <i/>
      <sz val="10"/>
      <name val="Arial"/>
      <family val="2"/>
    </font>
    <font>
      <b/>
      <i/>
      <sz val="9"/>
      <name val="Arial"/>
      <family val="2"/>
    </font>
    <font>
      <sz val="8"/>
      <name val="Wingdings"/>
      <charset val="2"/>
    </font>
  </fonts>
  <fills count="5">
    <fill>
      <patternFill patternType="none"/>
    </fill>
    <fill>
      <patternFill patternType="gray125"/>
    </fill>
    <fill>
      <patternFill patternType="solid">
        <fgColor indexed="22"/>
        <bgColor indexed="64"/>
      </patternFill>
    </fill>
    <fill>
      <patternFill patternType="solid">
        <fgColor theme="6" tint="0.79998168889431442"/>
        <bgColor indexed="64"/>
      </patternFill>
    </fill>
    <fill>
      <patternFill patternType="solid">
        <fgColor theme="1" tint="0.499984740745262"/>
        <bgColor indexed="64"/>
      </patternFill>
    </fill>
  </fills>
  <borders count="43">
    <border>
      <left/>
      <right/>
      <top/>
      <bottom/>
      <diagonal/>
    </border>
    <border>
      <left style="double">
        <color indexed="64"/>
      </left>
      <right style="double">
        <color indexed="64"/>
      </right>
      <top style="double">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167">
    <xf numFmtId="0" fontId="0" fillId="0" borderId="0" xfId="0"/>
    <xf numFmtId="0" fontId="3"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6" fillId="0" borderId="0" xfId="0" applyFont="1" applyAlignment="1">
      <alignment horizontal="left" textRotation="90"/>
    </xf>
    <xf numFmtId="0" fontId="4" fillId="0" borderId="2" xfId="0" applyFont="1" applyBorder="1" applyAlignment="1">
      <alignment horizontal="right"/>
    </xf>
    <xf numFmtId="0" fontId="0" fillId="0" borderId="3" xfId="0" applyBorder="1"/>
    <xf numFmtId="0" fontId="10" fillId="0" borderId="4" xfId="0" applyFont="1" applyBorder="1" applyAlignment="1">
      <alignment horizontal="center"/>
    </xf>
    <xf numFmtId="0" fontId="4" fillId="0" borderId="5" xfId="0" applyFont="1" applyBorder="1" applyAlignment="1">
      <alignment horizontal="right"/>
    </xf>
    <xf numFmtId="0" fontId="0" fillId="0" borderId="6" xfId="0" applyBorder="1"/>
    <xf numFmtId="0" fontId="10" fillId="0" borderId="7" xfId="0" applyFont="1" applyBorder="1" applyAlignment="1">
      <alignment horizontal="center"/>
    </xf>
    <xf numFmtId="0" fontId="10" fillId="0" borderId="0" xfId="0" applyFont="1" applyAlignment="1">
      <alignment horizontal="center"/>
    </xf>
    <xf numFmtId="0" fontId="7" fillId="0" borderId="8" xfId="0" applyFont="1" applyBorder="1" applyAlignment="1">
      <alignment horizontal="center"/>
    </xf>
    <xf numFmtId="0" fontId="10" fillId="0" borderId="9" xfId="0" applyFont="1" applyBorder="1" applyAlignment="1">
      <alignment horizontal="center"/>
    </xf>
    <xf numFmtId="0" fontId="0" fillId="0" borderId="0" xfId="0" applyAlignment="1">
      <alignment horizontal="center"/>
    </xf>
    <xf numFmtId="0" fontId="0" fillId="0" borderId="10" xfId="0" applyBorder="1" applyAlignment="1">
      <alignment horizontal="center"/>
    </xf>
    <xf numFmtId="0" fontId="9" fillId="0" borderId="11" xfId="0" applyFont="1" applyBorder="1" applyAlignment="1">
      <alignment horizontal="center"/>
    </xf>
    <xf numFmtId="0" fontId="0" fillId="0" borderId="12" xfId="0" applyBorder="1" applyAlignment="1">
      <alignment horizontal="center"/>
    </xf>
    <xf numFmtId="0" fontId="9" fillId="0" borderId="13" xfId="0" applyFont="1" applyBorder="1" applyAlignment="1">
      <alignment horizontal="center"/>
    </xf>
    <xf numFmtId="0" fontId="0" fillId="0" borderId="14" xfId="0" applyBorder="1" applyAlignment="1">
      <alignment horizontal="center"/>
    </xf>
    <xf numFmtId="0" fontId="9" fillId="0" borderId="15" xfId="0" applyFont="1" applyBorder="1" applyAlignment="1">
      <alignment horizontal="center"/>
    </xf>
    <xf numFmtId="0" fontId="1" fillId="2" borderId="16" xfId="0" applyFont="1" applyFill="1" applyBorder="1" applyAlignment="1">
      <alignment horizontal="center" vertical="center"/>
    </xf>
    <xf numFmtId="0" fontId="2" fillId="2" borderId="16" xfId="0" applyFont="1" applyFill="1" applyBorder="1" applyAlignment="1">
      <alignment horizontal="center" vertical="center"/>
    </xf>
    <xf numFmtId="0" fontId="10" fillId="0" borderId="17" xfId="0" applyFont="1" applyBorder="1" applyAlignment="1">
      <alignment horizontal="left"/>
    </xf>
    <xf numFmtId="0" fontId="10" fillId="0" borderId="18" xfId="0" applyFont="1" applyBorder="1" applyAlignment="1">
      <alignment horizontal="right"/>
    </xf>
    <xf numFmtId="0" fontId="13" fillId="0" borderId="19" xfId="0" applyFont="1" applyBorder="1" applyAlignment="1">
      <alignment horizontal="center"/>
    </xf>
    <xf numFmtId="0" fontId="13" fillId="0" borderId="20" xfId="0" applyFont="1" applyBorder="1" applyAlignment="1">
      <alignment horizontal="center"/>
    </xf>
    <xf numFmtId="0" fontId="0" fillId="0" borderId="20" xfId="0" applyBorder="1" applyAlignment="1">
      <alignment horizontal="center"/>
    </xf>
    <xf numFmtId="0" fontId="1" fillId="0" borderId="21" xfId="0" applyFont="1" applyBorder="1" applyAlignment="1">
      <alignment horizontal="right"/>
    </xf>
    <xf numFmtId="0" fontId="13" fillId="0" borderId="22" xfId="0" applyFont="1" applyBorder="1" applyAlignment="1">
      <alignment horizontal="center"/>
    </xf>
    <xf numFmtId="0" fontId="13" fillId="0" borderId="0" xfId="0" applyFont="1" applyAlignment="1">
      <alignment horizontal="center"/>
    </xf>
    <xf numFmtId="0" fontId="1" fillId="0" borderId="23" xfId="0" applyFont="1" applyBorder="1" applyAlignment="1">
      <alignment horizontal="right"/>
    </xf>
    <xf numFmtId="0" fontId="13" fillId="0" borderId="24" xfId="0" applyFont="1" applyBorder="1" applyAlignment="1">
      <alignment horizontal="center"/>
    </xf>
    <xf numFmtId="0" fontId="13" fillId="0" borderId="25" xfId="0" applyFont="1" applyBorder="1" applyAlignment="1">
      <alignment horizontal="center"/>
    </xf>
    <xf numFmtId="0" fontId="0" fillId="0" borderId="25" xfId="0" applyBorder="1"/>
    <xf numFmtId="0" fontId="1" fillId="0" borderId="26" xfId="0" applyFont="1" applyBorder="1" applyAlignment="1">
      <alignment horizontal="right"/>
    </xf>
    <xf numFmtId="0" fontId="14" fillId="0" borderId="0" xfId="0" applyFont="1"/>
    <xf numFmtId="0" fontId="1" fillId="0" borderId="0" xfId="0" applyFont="1" applyAlignment="1">
      <alignment horizontal="right"/>
    </xf>
    <xf numFmtId="0" fontId="15" fillId="0" borderId="0" xfId="0" applyFont="1" applyAlignment="1">
      <alignment horizontal="left" vertical="center"/>
    </xf>
    <xf numFmtId="0" fontId="18" fillId="0" borderId="0" xfId="0" applyFont="1" applyAlignment="1">
      <alignment horizontal="center" vertical="center"/>
    </xf>
    <xf numFmtId="0" fontId="4" fillId="0" borderId="0" xfId="0" applyFont="1"/>
    <xf numFmtId="0" fontId="15" fillId="0" borderId="0" xfId="0" applyFont="1" applyAlignment="1">
      <alignment vertical="center" wrapText="1"/>
    </xf>
    <xf numFmtId="0" fontId="4" fillId="0" borderId="0" xfId="0" applyFont="1" applyAlignment="1">
      <alignment horizontal="left"/>
    </xf>
    <xf numFmtId="0" fontId="16" fillId="0" borderId="0" xfId="0" applyFont="1" applyAlignment="1">
      <alignment horizontal="center" vertical="center"/>
    </xf>
    <xf numFmtId="0" fontId="15" fillId="0" borderId="0" xfId="0" applyFont="1" applyAlignment="1">
      <alignment horizontal="left" vertical="center" wrapText="1"/>
    </xf>
    <xf numFmtId="0" fontId="0" fillId="0" borderId="0" xfId="0" applyAlignment="1">
      <alignment horizontal="left"/>
    </xf>
    <xf numFmtId="0" fontId="2" fillId="0" borderId="29" xfId="0" applyFont="1" applyBorder="1" applyAlignment="1">
      <alignment horizontal="center" vertical="center"/>
    </xf>
    <xf numFmtId="0" fontId="2" fillId="0" borderId="16" xfId="0" applyFont="1" applyBorder="1" applyAlignment="1">
      <alignment horizontal="center" vertical="center"/>
    </xf>
    <xf numFmtId="0" fontId="12" fillId="2" borderId="16" xfId="0" applyFont="1" applyFill="1" applyBorder="1" applyAlignment="1">
      <alignment horizontal="center" vertical="center"/>
    </xf>
    <xf numFmtId="0" fontId="8" fillId="0" borderId="29" xfId="0" applyFont="1" applyBorder="1" applyAlignment="1">
      <alignment horizontal="center" vertical="center"/>
    </xf>
    <xf numFmtId="0" fontId="2" fillId="0" borderId="0" xfId="0" applyFont="1" applyAlignment="1">
      <alignment horizontal="center" vertical="center"/>
    </xf>
    <xf numFmtId="0" fontId="8" fillId="3" borderId="0" xfId="0" applyFont="1" applyFill="1"/>
    <xf numFmtId="0" fontId="0" fillId="0" borderId="0" xfId="0" applyAlignment="1">
      <alignment vertical="center"/>
    </xf>
    <xf numFmtId="0" fontId="4" fillId="0" borderId="0" xfId="0" applyFont="1" applyAlignment="1">
      <alignment horizontal="center"/>
    </xf>
    <xf numFmtId="0" fontId="4" fillId="0" borderId="0" xfId="0" applyFont="1" applyAlignment="1">
      <alignment horizontal="left" vertical="center"/>
    </xf>
    <xf numFmtId="164" fontId="0" fillId="0" borderId="0" xfId="0" applyNumberFormat="1"/>
    <xf numFmtId="0" fontId="20" fillId="0" borderId="0" xfId="0" applyFont="1"/>
    <xf numFmtId="0" fontId="21" fillId="0" borderId="0" xfId="0" applyFont="1"/>
    <xf numFmtId="0" fontId="19" fillId="0" borderId="0" xfId="0" applyFont="1"/>
    <xf numFmtId="0" fontId="0" fillId="0" borderId="0" xfId="0" applyProtection="1">
      <protection locked="0"/>
    </xf>
    <xf numFmtId="0" fontId="3" fillId="0" borderId="0" xfId="0" applyFont="1" applyAlignment="1" applyProtection="1">
      <alignment horizontal="center" vertical="center"/>
      <protection locked="0"/>
    </xf>
    <xf numFmtId="0" fontId="8" fillId="0" borderId="0" xfId="0" applyFont="1" applyProtection="1">
      <protection locked="0"/>
    </xf>
    <xf numFmtId="0" fontId="8" fillId="0" borderId="16" xfId="0" applyFont="1" applyBorder="1" applyAlignment="1" applyProtection="1">
      <alignment horizontal="center" vertical="center"/>
      <protection locked="0"/>
    </xf>
    <xf numFmtId="0" fontId="22" fillId="0" borderId="0" xfId="0" applyFont="1" applyAlignment="1" applyProtection="1">
      <alignment horizontal="left" vertical="center"/>
      <protection locked="0"/>
    </xf>
    <xf numFmtId="0" fontId="8"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19" fillId="0" borderId="0" xfId="0" applyFont="1" applyProtection="1">
      <protection locked="0"/>
    </xf>
    <xf numFmtId="0" fontId="5" fillId="0" borderId="1" xfId="0" applyFont="1" applyBorder="1" applyAlignment="1" applyProtection="1">
      <alignment horizontal="center" vertical="center"/>
      <protection locked="0"/>
    </xf>
    <xf numFmtId="0" fontId="18" fillId="0" borderId="1" xfId="0" applyFont="1" applyBorder="1" applyAlignment="1" applyProtection="1">
      <alignment horizontal="center" vertical="center"/>
      <protection locked="0"/>
    </xf>
    <xf numFmtId="0" fontId="18" fillId="0" borderId="27" xfId="0" applyFont="1" applyBorder="1" applyAlignment="1" applyProtection="1">
      <alignment horizontal="center" vertical="center"/>
      <protection locked="0"/>
    </xf>
    <xf numFmtId="0" fontId="18" fillId="0" borderId="28"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1" fillId="0" borderId="29" xfId="0" applyFont="1" applyBorder="1" applyAlignment="1" applyProtection="1">
      <alignment horizontal="center" vertical="center"/>
      <protection locked="0"/>
    </xf>
    <xf numFmtId="0" fontId="11" fillId="0" borderId="16" xfId="0" applyFont="1" applyBorder="1" applyAlignment="1" applyProtection="1">
      <alignment horizontal="center" vertical="center"/>
      <protection locked="0"/>
    </xf>
    <xf numFmtId="0" fontId="0" fillId="3" borderId="0" xfId="0" applyFill="1" applyProtection="1">
      <protection locked="0"/>
    </xf>
    <xf numFmtId="0" fontId="8" fillId="3" borderId="0" xfId="0" applyFont="1" applyFill="1" applyProtection="1">
      <protection locked="0"/>
    </xf>
    <xf numFmtId="0" fontId="8" fillId="3" borderId="16" xfId="0" applyFont="1" applyFill="1" applyBorder="1" applyAlignment="1" applyProtection="1">
      <alignment horizontal="center" vertical="center"/>
      <protection locked="0"/>
    </xf>
    <xf numFmtId="0" fontId="8" fillId="3" borderId="0" xfId="0" applyFont="1" applyFill="1" applyAlignment="1" applyProtection="1">
      <alignment horizontal="center" vertical="center"/>
      <protection locked="0"/>
    </xf>
    <xf numFmtId="0" fontId="20" fillId="3" borderId="0" xfId="0" applyFont="1" applyFill="1" applyProtection="1">
      <protection locked="0"/>
    </xf>
    <xf numFmtId="0" fontId="21" fillId="0" borderId="0" xfId="0" applyFont="1" applyProtection="1">
      <protection locked="0"/>
    </xf>
    <xf numFmtId="0" fontId="20" fillId="0" borderId="0" xfId="0" applyFont="1" applyProtection="1">
      <protection locked="0"/>
    </xf>
    <xf numFmtId="0" fontId="15" fillId="0" borderId="0" xfId="0" applyFont="1" applyAlignment="1" applyProtection="1">
      <alignment vertical="center" wrapText="1"/>
      <protection locked="0"/>
    </xf>
    <xf numFmtId="0" fontId="0" fillId="0" borderId="0" xfId="0" applyAlignment="1" applyProtection="1">
      <alignment vertical="center"/>
      <protection locked="0"/>
    </xf>
    <xf numFmtId="0" fontId="17" fillId="0" borderId="0" xfId="0" applyFont="1" applyAlignment="1" applyProtection="1">
      <alignment vertical="center" wrapText="1"/>
      <protection locked="0"/>
    </xf>
    <xf numFmtId="0" fontId="4" fillId="0" borderId="0" xfId="0" applyFont="1" applyAlignment="1" applyProtection="1">
      <alignment horizontal="left" vertical="center"/>
      <protection locked="0"/>
    </xf>
    <xf numFmtId="0" fontId="4" fillId="0" borderId="0" xfId="0" applyFont="1" applyAlignment="1" applyProtection="1">
      <alignment vertical="center"/>
      <protection locked="0"/>
    </xf>
    <xf numFmtId="0" fontId="4" fillId="0" borderId="40" xfId="0" applyFont="1" applyBorder="1" applyAlignment="1" applyProtection="1">
      <alignment horizontal="left" vertical="center"/>
      <protection locked="0"/>
    </xf>
    <xf numFmtId="0" fontId="4" fillId="0" borderId="41" xfId="0" applyFont="1" applyBorder="1" applyAlignment="1" applyProtection="1">
      <alignment horizontal="left" vertical="center"/>
      <protection locked="0"/>
    </xf>
    <xf numFmtId="0" fontId="0" fillId="0" borderId="41" xfId="0" applyBorder="1" applyAlignment="1">
      <alignment horizontal="left" vertical="center"/>
    </xf>
    <xf numFmtId="0" fontId="0" fillId="0" borderId="42" xfId="0" applyBorder="1" applyAlignment="1">
      <alignment horizontal="left" vertical="center"/>
    </xf>
    <xf numFmtId="0" fontId="14" fillId="0" borderId="20" xfId="0" applyFont="1" applyBorder="1" applyAlignment="1">
      <alignment horizontal="center"/>
    </xf>
    <xf numFmtId="0" fontId="0" fillId="0" borderId="20" xfId="0" applyBorder="1" applyAlignment="1">
      <alignment horizontal="center"/>
    </xf>
    <xf numFmtId="0" fontId="14" fillId="0" borderId="0" xfId="0" applyFont="1" applyAlignment="1">
      <alignment horizontal="center"/>
    </xf>
    <xf numFmtId="0" fontId="0" fillId="0" borderId="0" xfId="0" applyAlignment="1">
      <alignment horizontal="center"/>
    </xf>
    <xf numFmtId="0" fontId="13" fillId="0" borderId="25" xfId="0" applyFont="1" applyBorder="1" applyAlignment="1">
      <alignment horizontal="center"/>
    </xf>
    <xf numFmtId="0" fontId="0" fillId="0" borderId="25" xfId="0" applyBorder="1"/>
    <xf numFmtId="0" fontId="1" fillId="0" borderId="0" xfId="0" applyFont="1" applyAlignment="1">
      <alignment horizontal="right"/>
    </xf>
    <xf numFmtId="0" fontId="4" fillId="0" borderId="30" xfId="0" applyFont="1" applyBorder="1" applyAlignment="1" applyProtection="1">
      <alignment horizontal="left"/>
      <protection locked="0"/>
    </xf>
    <xf numFmtId="0" fontId="4" fillId="0" borderId="31" xfId="0" applyFont="1" applyBorder="1" applyAlignment="1" applyProtection="1">
      <alignment horizontal="left"/>
      <protection locked="0"/>
    </xf>
    <xf numFmtId="0" fontId="4" fillId="0" borderId="32" xfId="0" applyFont="1" applyBorder="1" applyAlignment="1" applyProtection="1">
      <alignment horizontal="left"/>
      <protection locked="0"/>
    </xf>
    <xf numFmtId="0" fontId="4" fillId="0" borderId="16" xfId="0" applyFont="1" applyBorder="1" applyAlignment="1" applyProtection="1">
      <alignment horizontal="left"/>
      <protection locked="0"/>
    </xf>
    <xf numFmtId="0" fontId="0" fillId="0" borderId="32" xfId="0" applyBorder="1" applyAlignment="1" applyProtection="1">
      <alignment horizontal="left"/>
      <protection locked="0"/>
    </xf>
    <xf numFmtId="0" fontId="0" fillId="0" borderId="31" xfId="0" applyBorder="1" applyAlignment="1" applyProtection="1">
      <alignment horizontal="left"/>
      <protection locked="0"/>
    </xf>
    <xf numFmtId="0" fontId="4" fillId="0" borderId="15" xfId="0" applyFont="1" applyBorder="1" applyAlignment="1">
      <alignment horizontal="left" vertical="center"/>
    </xf>
    <xf numFmtId="0" fontId="4" fillId="0" borderId="33" xfId="0" applyFont="1" applyBorder="1" applyAlignment="1">
      <alignment horizontal="left" vertical="center"/>
    </xf>
    <xf numFmtId="0" fontId="4" fillId="0" borderId="14" xfId="0" applyFont="1" applyBorder="1" applyAlignment="1">
      <alignment horizontal="left"/>
    </xf>
    <xf numFmtId="0" fontId="4" fillId="0" borderId="34" xfId="0" applyFont="1" applyBorder="1" applyAlignment="1">
      <alignment horizontal="left"/>
    </xf>
    <xf numFmtId="0" fontId="4" fillId="0" borderId="35" xfId="0" applyFont="1" applyBorder="1" applyAlignment="1">
      <alignment horizontal="center"/>
    </xf>
    <xf numFmtId="0" fontId="4" fillId="0" borderId="36" xfId="0" applyFont="1" applyBorder="1" applyAlignment="1">
      <alignment horizontal="center"/>
    </xf>
    <xf numFmtId="0" fontId="4" fillId="0" borderId="37" xfId="0" applyFont="1" applyBorder="1" applyAlignment="1">
      <alignment horizontal="center"/>
    </xf>
    <xf numFmtId="0" fontId="4" fillId="0" borderId="38" xfId="0" applyFont="1" applyBorder="1" applyAlignment="1" applyProtection="1">
      <alignment horizontal="left" vertical="center"/>
      <protection locked="0"/>
    </xf>
    <xf numFmtId="0" fontId="0" fillId="0" borderId="16" xfId="0" applyBorder="1" applyAlignment="1">
      <alignment horizontal="left" vertical="center"/>
    </xf>
    <xf numFmtId="0" fontId="4" fillId="0" borderId="16" xfId="0" applyFont="1" applyBorder="1" applyAlignment="1" applyProtection="1">
      <alignment horizontal="left" vertical="center"/>
      <protection locked="0"/>
    </xf>
    <xf numFmtId="0" fontId="0" fillId="0" borderId="39" xfId="0" applyBorder="1" applyAlignment="1">
      <alignment horizontal="left" vertical="center"/>
    </xf>
    <xf numFmtId="0" fontId="14" fillId="0" borderId="19" xfId="0" applyFont="1" applyBorder="1" applyAlignment="1">
      <alignment horizontal="center" vertical="center"/>
    </xf>
    <xf numFmtId="0" fontId="0" fillId="0" borderId="20" xfId="0" applyBorder="1"/>
    <xf numFmtId="0" fontId="0" fillId="0" borderId="24" xfId="0" applyBorder="1"/>
    <xf numFmtId="0" fontId="17" fillId="0" borderId="20" xfId="0" applyFont="1" applyBorder="1" applyAlignment="1">
      <alignment vertical="center" wrapText="1"/>
    </xf>
    <xf numFmtId="0" fontId="17" fillId="0" borderId="21" xfId="0" applyFont="1" applyBorder="1" applyAlignment="1">
      <alignment vertical="center" wrapText="1"/>
    </xf>
    <xf numFmtId="0" fontId="17" fillId="0" borderId="25" xfId="0" applyFont="1" applyBorder="1" applyAlignment="1">
      <alignment vertical="center" wrapText="1"/>
    </xf>
    <xf numFmtId="0" fontId="17" fillId="0" borderId="26" xfId="0" applyFont="1" applyBorder="1" applyAlignment="1">
      <alignment vertical="center" wrapText="1"/>
    </xf>
    <xf numFmtId="0" fontId="8" fillId="0" borderId="30" xfId="0" applyFont="1" applyBorder="1" applyAlignment="1">
      <alignment horizontal="left" vertical="center" wrapText="1"/>
    </xf>
    <xf numFmtId="0" fontId="8" fillId="0" borderId="31" xfId="0" applyFont="1" applyBorder="1" applyAlignment="1">
      <alignment wrapText="1"/>
    </xf>
    <xf numFmtId="0" fontId="0" fillId="0" borderId="31" xfId="0" applyBorder="1"/>
    <xf numFmtId="0" fontId="0" fillId="0" borderId="32" xfId="0" applyBorder="1"/>
    <xf numFmtId="0" fontId="8" fillId="0" borderId="30" xfId="0" applyFont="1" applyBorder="1" applyAlignment="1" applyProtection="1">
      <alignment horizontal="left" vertical="center" wrapText="1"/>
      <protection locked="0"/>
    </xf>
    <xf numFmtId="0" fontId="8" fillId="0" borderId="31" xfId="0" applyFont="1" applyBorder="1" applyAlignment="1" applyProtection="1">
      <alignment wrapText="1"/>
      <protection locked="0"/>
    </xf>
    <xf numFmtId="0" fontId="19" fillId="0" borderId="31" xfId="0" applyFont="1" applyBorder="1" applyProtection="1">
      <protection locked="0"/>
    </xf>
    <xf numFmtId="0" fontId="19" fillId="0" borderId="32" xfId="0" applyFont="1" applyBorder="1" applyProtection="1">
      <protection locked="0"/>
    </xf>
    <xf numFmtId="0" fontId="8" fillId="0" borderId="30" xfId="0" applyFont="1" applyBorder="1" applyProtection="1">
      <protection locked="0"/>
    </xf>
    <xf numFmtId="0" fontId="8" fillId="0" borderId="31" xfId="0" applyFont="1" applyBorder="1" applyProtection="1">
      <protection locked="0"/>
    </xf>
    <xf numFmtId="0" fontId="0" fillId="0" borderId="31" xfId="0" applyBorder="1" applyProtection="1">
      <protection locked="0"/>
    </xf>
    <xf numFmtId="0" fontId="0" fillId="0" borderId="32" xfId="0" applyBorder="1" applyProtection="1">
      <protection locked="0"/>
    </xf>
    <xf numFmtId="0" fontId="4" fillId="0" borderId="0" xfId="0" applyFont="1" applyAlignment="1">
      <alignment vertical="center"/>
    </xf>
    <xf numFmtId="0" fontId="0" fillId="0" borderId="0" xfId="0" applyAlignment="1">
      <alignment vertical="center"/>
    </xf>
    <xf numFmtId="0" fontId="8" fillId="0" borderId="32" xfId="0" applyFont="1" applyBorder="1" applyAlignment="1">
      <alignment wrapText="1"/>
    </xf>
    <xf numFmtId="0" fontId="8" fillId="0" borderId="31" xfId="0" applyFont="1" applyBorder="1"/>
    <xf numFmtId="0" fontId="8" fillId="0" borderId="32" xfId="0" applyFont="1" applyBorder="1"/>
    <xf numFmtId="0" fontId="8" fillId="0" borderId="24" xfId="0" applyFont="1" applyBorder="1"/>
    <xf numFmtId="0" fontId="8" fillId="0" borderId="25" xfId="0" applyFont="1" applyBorder="1"/>
    <xf numFmtId="0" fontId="8" fillId="0" borderId="26" xfId="0" applyFont="1" applyBorder="1"/>
    <xf numFmtId="0" fontId="8" fillId="0" borderId="16" xfId="0" applyFont="1" applyBorder="1" applyAlignment="1" applyProtection="1">
      <alignment horizontal="left" vertical="center" wrapText="1"/>
      <protection locked="0"/>
    </xf>
    <xf numFmtId="0" fontId="0" fillId="0" borderId="16" xfId="0" applyBorder="1" applyAlignment="1" applyProtection="1">
      <alignment wrapText="1"/>
      <protection locked="0"/>
    </xf>
    <xf numFmtId="0" fontId="8" fillId="0" borderId="16" xfId="0" applyFont="1" applyBorder="1" applyAlignment="1" applyProtection="1">
      <alignment wrapText="1"/>
      <protection locked="0"/>
    </xf>
    <xf numFmtId="0" fontId="16" fillId="0" borderId="30" xfId="0" applyFont="1" applyBorder="1" applyAlignment="1">
      <alignment horizontal="center" vertical="center" wrapText="1"/>
    </xf>
    <xf numFmtId="0" fontId="16" fillId="0" borderId="31" xfId="0" applyFont="1" applyBorder="1" applyAlignment="1">
      <alignment horizontal="center" vertical="center" wrapText="1"/>
    </xf>
    <xf numFmtId="0" fontId="16" fillId="0" borderId="32" xfId="0" applyFont="1" applyBorder="1" applyAlignment="1">
      <alignment horizontal="center" vertical="center" wrapText="1"/>
    </xf>
    <xf numFmtId="0" fontId="8" fillId="0" borderId="19" xfId="0" applyFont="1" applyBorder="1" applyAlignment="1">
      <alignment horizontal="left" vertical="center" wrapText="1"/>
    </xf>
    <xf numFmtId="0" fontId="8" fillId="0" borderId="20" xfId="0" applyFont="1" applyBorder="1" applyAlignment="1">
      <alignment wrapText="1"/>
    </xf>
    <xf numFmtId="0" fontId="0" fillId="0" borderId="21" xfId="0" applyBorder="1"/>
    <xf numFmtId="0" fontId="8" fillId="0" borderId="22" xfId="0" applyFont="1" applyBorder="1" applyAlignment="1">
      <alignment wrapText="1"/>
    </xf>
    <xf numFmtId="0" fontId="8" fillId="0" borderId="0" xfId="0" applyFont="1" applyAlignment="1">
      <alignment wrapText="1"/>
    </xf>
    <xf numFmtId="0" fontId="0" fillId="0" borderId="0" xfId="0"/>
    <xf numFmtId="0" fontId="0" fillId="0" borderId="23" xfId="0" applyBorder="1"/>
    <xf numFmtId="0" fontId="8" fillId="0" borderId="24" xfId="0" applyFont="1" applyBorder="1" applyAlignment="1">
      <alignment wrapText="1"/>
    </xf>
    <xf numFmtId="0" fontId="8" fillId="0" borderId="25" xfId="0" applyFont="1" applyBorder="1" applyAlignment="1">
      <alignment wrapText="1"/>
    </xf>
    <xf numFmtId="0" fontId="0" fillId="0" borderId="26" xfId="0" applyBorder="1"/>
    <xf numFmtId="0" fontId="8" fillId="0" borderId="30" xfId="0" applyFont="1" applyBorder="1" applyAlignment="1">
      <alignment wrapText="1"/>
    </xf>
    <xf numFmtId="0" fontId="0" fillId="0" borderId="31" xfId="0" applyBorder="1" applyAlignment="1">
      <alignment horizontal="center" wrapText="1"/>
    </xf>
    <xf numFmtId="0" fontId="0" fillId="0" borderId="32" xfId="0" applyBorder="1" applyAlignment="1">
      <alignment horizontal="center" wrapText="1"/>
    </xf>
    <xf numFmtId="0" fontId="8" fillId="0" borderId="21" xfId="0" applyFont="1" applyBorder="1" applyAlignment="1">
      <alignment wrapText="1"/>
    </xf>
    <xf numFmtId="0" fontId="8" fillId="0" borderId="23" xfId="0" applyFont="1" applyBorder="1" applyAlignment="1">
      <alignment wrapText="1"/>
    </xf>
    <xf numFmtId="0" fontId="8" fillId="0" borderId="26" xfId="0" applyFont="1" applyBorder="1" applyAlignment="1">
      <alignment wrapText="1"/>
    </xf>
    <xf numFmtId="0" fontId="8" fillId="4" borderId="16" xfId="0" applyFont="1" applyFill="1" applyBorder="1" applyAlignment="1" applyProtection="1">
      <alignment horizontal="center" vertical="center"/>
      <protection locked="0"/>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7</xdr:col>
      <xdr:colOff>226060</xdr:colOff>
      <xdr:row>2</xdr:row>
      <xdr:rowOff>55880</xdr:rowOff>
    </xdr:to>
    <xdr:pic>
      <xdr:nvPicPr>
        <xdr:cNvPr id="2" name="Picture 1">
          <a:extLst>
            <a:ext uri="{FF2B5EF4-FFF2-40B4-BE49-F238E27FC236}">
              <a16:creationId xmlns:a16="http://schemas.microsoft.com/office/drawing/2014/main" id="{BAB9D7F5-9AF5-4A91-B16B-54A4A4D6D3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95250"/>
          <a:ext cx="1702435" cy="372110"/>
        </a:xfrm>
        <a:prstGeom prst="rect">
          <a:avLst/>
        </a:prstGeom>
        <a:noFill/>
        <a:ln>
          <a:noFill/>
        </a:ln>
      </xdr:spPr>
    </xdr:pic>
    <xdr:clientData/>
  </xdr:twoCellAnchor>
  <xdr:twoCellAnchor>
    <xdr:from>
      <xdr:col>21</xdr:col>
      <xdr:colOff>220980</xdr:colOff>
      <xdr:row>40</xdr:row>
      <xdr:rowOff>160021</xdr:rowOff>
    </xdr:from>
    <xdr:to>
      <xdr:col>24</xdr:col>
      <xdr:colOff>15240</xdr:colOff>
      <xdr:row>42</xdr:row>
      <xdr:rowOff>30481</xdr:rowOff>
    </xdr:to>
    <xdr:sp macro="" textlink="">
      <xdr:nvSpPr>
        <xdr:cNvPr id="3" name="Oval 2">
          <a:extLst>
            <a:ext uri="{FF2B5EF4-FFF2-40B4-BE49-F238E27FC236}">
              <a16:creationId xmlns:a16="http://schemas.microsoft.com/office/drawing/2014/main" id="{70EC294C-8465-390C-E4B3-4EC3A1DEECE7}"/>
            </a:ext>
          </a:extLst>
        </xdr:cNvPr>
        <xdr:cNvSpPr/>
      </xdr:nvSpPr>
      <xdr:spPr>
        <a:xfrm>
          <a:off x="5455920" y="8115301"/>
          <a:ext cx="640080" cy="25146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128"/>
  <sheetViews>
    <sheetView zoomScale="90" zoomScaleNormal="90" workbookViewId="0">
      <selection activeCell="H97" sqref="H97"/>
    </sheetView>
  </sheetViews>
  <sheetFormatPr defaultRowHeight="13.2" x14ac:dyDescent="0.25"/>
  <sheetData>
    <row r="1" spans="2:16" x14ac:dyDescent="0.25">
      <c r="B1" s="59" t="s">
        <v>109</v>
      </c>
      <c r="C1" s="59">
        <v>158</v>
      </c>
      <c r="F1">
        <f>C1</f>
        <v>158</v>
      </c>
      <c r="G1">
        <f>C2</f>
        <v>138</v>
      </c>
      <c r="I1">
        <f>C33</f>
        <v>129</v>
      </c>
      <c r="J1">
        <f>C34</f>
        <v>101</v>
      </c>
      <c r="L1">
        <f>C65</f>
        <v>104</v>
      </c>
      <c r="M1">
        <f>C66</f>
        <v>140</v>
      </c>
      <c r="O1">
        <f>C97</f>
        <v>97</v>
      </c>
      <c r="P1">
        <f>C98</f>
        <v>98</v>
      </c>
    </row>
    <row r="2" spans="2:16" x14ac:dyDescent="0.25">
      <c r="B2" s="59" t="s">
        <v>110</v>
      </c>
      <c r="C2" s="59">
        <v>138</v>
      </c>
      <c r="F2">
        <f>C3</f>
        <v>149</v>
      </c>
      <c r="G2">
        <f>C4</f>
        <v>137</v>
      </c>
      <c r="I2">
        <f>C35</f>
        <v>235</v>
      </c>
      <c r="J2">
        <f>C36</f>
        <v>146</v>
      </c>
      <c r="L2">
        <f>C67</f>
        <v>127</v>
      </c>
      <c r="M2">
        <f>C68</f>
        <v>190</v>
      </c>
      <c r="O2">
        <f>C99</f>
        <v>99</v>
      </c>
      <c r="P2">
        <f>C100</f>
        <v>100</v>
      </c>
    </row>
    <row r="3" spans="2:16" x14ac:dyDescent="0.25">
      <c r="B3" s="59" t="s">
        <v>111</v>
      </c>
      <c r="C3" s="59">
        <v>149</v>
      </c>
      <c r="F3">
        <f>C5</f>
        <v>125</v>
      </c>
      <c r="G3">
        <f>C6</f>
        <v>116</v>
      </c>
      <c r="I3">
        <f>C37</f>
        <v>132</v>
      </c>
      <c r="J3">
        <f>C38</f>
        <v>97</v>
      </c>
      <c r="L3">
        <f>C69</f>
        <v>132</v>
      </c>
      <c r="M3">
        <f>C70</f>
        <v>153</v>
      </c>
      <c r="O3">
        <f>C101</f>
        <v>101</v>
      </c>
      <c r="P3">
        <f>C102</f>
        <v>102</v>
      </c>
    </row>
    <row r="4" spans="2:16" x14ac:dyDescent="0.25">
      <c r="B4" s="59" t="s">
        <v>112</v>
      </c>
      <c r="C4" s="59">
        <v>137</v>
      </c>
      <c r="F4">
        <f>C7</f>
        <v>111</v>
      </c>
      <c r="G4">
        <f>C8</f>
        <v>119</v>
      </c>
      <c r="I4">
        <f>C39</f>
        <v>139</v>
      </c>
      <c r="J4">
        <f>C40</f>
        <v>117</v>
      </c>
      <c r="L4">
        <f>C71</f>
        <v>118</v>
      </c>
      <c r="M4">
        <f>C72</f>
        <v>156</v>
      </c>
      <c r="O4">
        <f>C103</f>
        <v>103</v>
      </c>
      <c r="P4">
        <f>C104</f>
        <v>104</v>
      </c>
    </row>
    <row r="5" spans="2:16" x14ac:dyDescent="0.25">
      <c r="B5" s="59" t="s">
        <v>113</v>
      </c>
      <c r="C5" s="59">
        <v>125</v>
      </c>
      <c r="F5">
        <f>C9</f>
        <v>106</v>
      </c>
      <c r="G5">
        <f>C10</f>
        <v>113</v>
      </c>
      <c r="I5">
        <f>C41</f>
        <v>110</v>
      </c>
      <c r="J5">
        <f>C42</f>
        <v>111</v>
      </c>
      <c r="L5">
        <f>C73</f>
        <v>101</v>
      </c>
      <c r="M5">
        <f>C74</f>
        <v>183</v>
      </c>
      <c r="O5">
        <f>C105</f>
        <v>105</v>
      </c>
      <c r="P5">
        <f>C106</f>
        <v>106</v>
      </c>
    </row>
    <row r="6" spans="2:16" x14ac:dyDescent="0.25">
      <c r="B6" s="59" t="s">
        <v>114</v>
      </c>
      <c r="C6" s="59">
        <v>116</v>
      </c>
      <c r="F6">
        <f>C11</f>
        <v>90</v>
      </c>
      <c r="G6">
        <f>C12</f>
        <v>103</v>
      </c>
      <c r="I6">
        <f>C43</f>
        <v>82</v>
      </c>
      <c r="J6">
        <f>C44</f>
        <v>100</v>
      </c>
      <c r="L6">
        <f>C75</f>
        <v>106</v>
      </c>
      <c r="M6">
        <f>C76</f>
        <v>140</v>
      </c>
      <c r="O6">
        <f>C107</f>
        <v>107</v>
      </c>
      <c r="P6">
        <f>C108</f>
        <v>108</v>
      </c>
    </row>
    <row r="7" spans="2:16" x14ac:dyDescent="0.25">
      <c r="B7" s="59" t="s">
        <v>115</v>
      </c>
      <c r="C7" s="59">
        <v>111</v>
      </c>
      <c r="F7">
        <f>C13</f>
        <v>114</v>
      </c>
      <c r="G7">
        <f>C14</f>
        <v>139</v>
      </c>
      <c r="I7">
        <f>C45</f>
        <v>134</v>
      </c>
      <c r="J7">
        <f>C46</f>
        <v>89</v>
      </c>
      <c r="L7">
        <f>C77</f>
        <v>133</v>
      </c>
      <c r="M7">
        <f>C78</f>
        <v>130</v>
      </c>
      <c r="O7">
        <f>C109</f>
        <v>109</v>
      </c>
      <c r="P7">
        <f>C110</f>
        <v>110</v>
      </c>
    </row>
    <row r="8" spans="2:16" x14ac:dyDescent="0.25">
      <c r="B8" s="59" t="s">
        <v>116</v>
      </c>
      <c r="C8" s="59">
        <v>119</v>
      </c>
      <c r="F8">
        <f>C15</f>
        <v>82</v>
      </c>
      <c r="G8">
        <f>C16</f>
        <v>89</v>
      </c>
      <c r="I8">
        <f>C47</f>
        <v>147</v>
      </c>
      <c r="J8">
        <f>C48</f>
        <v>107</v>
      </c>
      <c r="L8">
        <f>C79</f>
        <v>125</v>
      </c>
      <c r="M8">
        <f>C80</f>
        <v>124</v>
      </c>
      <c r="O8">
        <f>C111</f>
        <v>111</v>
      </c>
      <c r="P8">
        <f>C112</f>
        <v>112</v>
      </c>
    </row>
    <row r="9" spans="2:16" x14ac:dyDescent="0.25">
      <c r="B9" s="59" t="s">
        <v>117</v>
      </c>
      <c r="C9" s="59">
        <v>106</v>
      </c>
      <c r="F9">
        <f>C17</f>
        <v>500</v>
      </c>
      <c r="G9">
        <f>C18</f>
        <v>127</v>
      </c>
      <c r="I9">
        <f>C49</f>
        <v>756</v>
      </c>
      <c r="J9">
        <f>C50</f>
        <v>80</v>
      </c>
      <c r="L9">
        <f>C81</f>
        <v>304</v>
      </c>
      <c r="M9">
        <f>C82</f>
        <v>245</v>
      </c>
      <c r="O9">
        <f>C113</f>
        <v>113</v>
      </c>
      <c r="P9">
        <f>C114</f>
        <v>114</v>
      </c>
    </row>
    <row r="10" spans="2:16" x14ac:dyDescent="0.25">
      <c r="B10" s="59" t="s">
        <v>118</v>
      </c>
      <c r="C10" s="59">
        <v>113</v>
      </c>
      <c r="F10">
        <f>C19</f>
        <v>90</v>
      </c>
      <c r="G10">
        <f>C20</f>
        <v>383</v>
      </c>
      <c r="I10">
        <f>C51</f>
        <v>132</v>
      </c>
      <c r="J10">
        <f>C52</f>
        <v>294</v>
      </c>
      <c r="L10">
        <f>C83</f>
        <v>94</v>
      </c>
      <c r="M10">
        <f>C84</f>
        <v>350</v>
      </c>
      <c r="O10">
        <f>C115</f>
        <v>115</v>
      </c>
      <c r="P10">
        <f>C116</f>
        <v>116</v>
      </c>
    </row>
    <row r="11" spans="2:16" x14ac:dyDescent="0.25">
      <c r="B11" s="59" t="s">
        <v>119</v>
      </c>
      <c r="C11" s="59">
        <v>90</v>
      </c>
      <c r="F11">
        <f>C21</f>
        <v>69</v>
      </c>
      <c r="G11">
        <f>C22</f>
        <v>112</v>
      </c>
      <c r="I11">
        <f>C53</f>
        <v>160</v>
      </c>
      <c r="J11">
        <f>C54</f>
        <v>106</v>
      </c>
      <c r="L11">
        <f>C85</f>
        <v>104</v>
      </c>
      <c r="M11">
        <f>C86</f>
        <v>86</v>
      </c>
      <c r="O11">
        <f>C117</f>
        <v>117</v>
      </c>
      <c r="P11">
        <f>C118</f>
        <v>118</v>
      </c>
    </row>
    <row r="12" spans="2:16" x14ac:dyDescent="0.25">
      <c r="B12" s="59" t="s">
        <v>120</v>
      </c>
      <c r="C12" s="59">
        <v>103</v>
      </c>
      <c r="F12">
        <f>C23</f>
        <v>131</v>
      </c>
      <c r="G12">
        <f>C24</f>
        <v>101</v>
      </c>
      <c r="I12">
        <f>C55</f>
        <v>118</v>
      </c>
      <c r="J12">
        <f>C56</f>
        <v>83</v>
      </c>
      <c r="L12">
        <f>C87</f>
        <v>134</v>
      </c>
      <c r="M12">
        <f>C88</f>
        <v>126</v>
      </c>
      <c r="O12">
        <f>C119</f>
        <v>119</v>
      </c>
      <c r="P12">
        <f>C120</f>
        <v>155</v>
      </c>
    </row>
    <row r="13" spans="2:16" x14ac:dyDescent="0.25">
      <c r="B13" s="59" t="s">
        <v>121</v>
      </c>
      <c r="C13" s="59">
        <v>114</v>
      </c>
      <c r="F13">
        <f>C25</f>
        <v>110</v>
      </c>
      <c r="G13">
        <f>C26</f>
        <v>112</v>
      </c>
      <c r="I13">
        <f>C57</f>
        <v>120</v>
      </c>
      <c r="J13">
        <f>C58</f>
        <v>101</v>
      </c>
      <c r="L13">
        <f>C89</f>
        <v>128</v>
      </c>
      <c r="M13">
        <f>C90</f>
        <v>191</v>
      </c>
      <c r="O13">
        <f>C121</f>
        <v>121</v>
      </c>
      <c r="P13">
        <f>C122</f>
        <v>122</v>
      </c>
    </row>
    <row r="14" spans="2:16" x14ac:dyDescent="0.25">
      <c r="B14" s="59" t="s">
        <v>122</v>
      </c>
      <c r="C14" s="59">
        <v>139</v>
      </c>
      <c r="F14">
        <f>C27</f>
        <v>94</v>
      </c>
      <c r="G14">
        <f>C28</f>
        <v>100</v>
      </c>
      <c r="I14">
        <f>C59</f>
        <v>146</v>
      </c>
      <c r="J14">
        <f>C60</f>
        <v>95</v>
      </c>
      <c r="L14">
        <f>C91</f>
        <v>82</v>
      </c>
      <c r="M14">
        <f>C92</f>
        <v>177</v>
      </c>
      <c r="O14">
        <f>C123</f>
        <v>123</v>
      </c>
      <c r="P14">
        <f>C124</f>
        <v>124</v>
      </c>
    </row>
    <row r="15" spans="2:16" x14ac:dyDescent="0.25">
      <c r="B15" s="59" t="s">
        <v>123</v>
      </c>
      <c r="C15" s="59">
        <v>82</v>
      </c>
      <c r="F15">
        <f>C29</f>
        <v>106</v>
      </c>
      <c r="G15">
        <f>C30</f>
        <v>93</v>
      </c>
      <c r="I15">
        <f>C61</f>
        <v>122</v>
      </c>
      <c r="J15">
        <f>C62</f>
        <v>86</v>
      </c>
      <c r="L15">
        <f>C93</f>
        <v>103</v>
      </c>
      <c r="M15">
        <f>C94</f>
        <v>99</v>
      </c>
      <c r="O15">
        <f>C125</f>
        <v>125</v>
      </c>
      <c r="P15">
        <f>C126</f>
        <v>126</v>
      </c>
    </row>
    <row r="16" spans="2:16" x14ac:dyDescent="0.25">
      <c r="B16" s="59" t="s">
        <v>124</v>
      </c>
      <c r="C16" s="59">
        <v>89</v>
      </c>
      <c r="F16">
        <f>C31</f>
        <v>90</v>
      </c>
      <c r="G16">
        <f>C32</f>
        <v>325</v>
      </c>
      <c r="I16">
        <f>C63</f>
        <v>59</v>
      </c>
      <c r="J16">
        <f>C64</f>
        <v>290</v>
      </c>
      <c r="L16">
        <f>C95</f>
        <v>69</v>
      </c>
      <c r="M16">
        <f>C96</f>
        <v>512</v>
      </c>
      <c r="O16">
        <f>C127</f>
        <v>127</v>
      </c>
      <c r="P16">
        <f>C128</f>
        <v>128</v>
      </c>
    </row>
    <row r="17" spans="2:3" x14ac:dyDescent="0.25">
      <c r="B17" s="59" t="s">
        <v>125</v>
      </c>
      <c r="C17" s="59">
        <v>500</v>
      </c>
    </row>
    <row r="18" spans="2:3" x14ac:dyDescent="0.25">
      <c r="B18" s="59" t="s">
        <v>126</v>
      </c>
      <c r="C18" s="59">
        <v>127</v>
      </c>
    </row>
    <row r="19" spans="2:3" x14ac:dyDescent="0.25">
      <c r="B19" s="59" t="s">
        <v>127</v>
      </c>
      <c r="C19" s="59">
        <v>90</v>
      </c>
    </row>
    <row r="20" spans="2:3" x14ac:dyDescent="0.25">
      <c r="B20" s="59" t="s">
        <v>128</v>
      </c>
      <c r="C20" s="59">
        <v>383</v>
      </c>
    </row>
    <row r="21" spans="2:3" x14ac:dyDescent="0.25">
      <c r="B21" s="59" t="s">
        <v>129</v>
      </c>
      <c r="C21" s="59">
        <v>69</v>
      </c>
    </row>
    <row r="22" spans="2:3" x14ac:dyDescent="0.25">
      <c r="B22" s="59" t="s">
        <v>130</v>
      </c>
      <c r="C22" s="59">
        <v>112</v>
      </c>
    </row>
    <row r="23" spans="2:3" x14ac:dyDescent="0.25">
      <c r="B23" s="59" t="s">
        <v>131</v>
      </c>
      <c r="C23" s="59">
        <v>131</v>
      </c>
    </row>
    <row r="24" spans="2:3" x14ac:dyDescent="0.25">
      <c r="B24" s="59" t="s">
        <v>132</v>
      </c>
      <c r="C24" s="59">
        <v>101</v>
      </c>
    </row>
    <row r="25" spans="2:3" x14ac:dyDescent="0.25">
      <c r="B25" s="59" t="s">
        <v>133</v>
      </c>
      <c r="C25" s="59">
        <v>110</v>
      </c>
    </row>
    <row r="26" spans="2:3" x14ac:dyDescent="0.25">
      <c r="B26" s="59" t="s">
        <v>134</v>
      </c>
      <c r="C26" s="59">
        <v>112</v>
      </c>
    </row>
    <row r="27" spans="2:3" x14ac:dyDescent="0.25">
      <c r="B27" s="59" t="s">
        <v>135</v>
      </c>
      <c r="C27" s="59">
        <v>94</v>
      </c>
    </row>
    <row r="28" spans="2:3" x14ac:dyDescent="0.25">
      <c r="B28" s="59" t="s">
        <v>136</v>
      </c>
      <c r="C28" s="59">
        <v>100</v>
      </c>
    </row>
    <row r="29" spans="2:3" x14ac:dyDescent="0.25">
      <c r="B29" s="59" t="s">
        <v>137</v>
      </c>
      <c r="C29" s="59">
        <v>106</v>
      </c>
    </row>
    <row r="30" spans="2:3" x14ac:dyDescent="0.25">
      <c r="B30" s="59" t="s">
        <v>138</v>
      </c>
      <c r="C30" s="59">
        <v>93</v>
      </c>
    </row>
    <row r="31" spans="2:3" x14ac:dyDescent="0.25">
      <c r="B31" s="59" t="s">
        <v>139</v>
      </c>
      <c r="C31" s="59">
        <v>90</v>
      </c>
    </row>
    <row r="32" spans="2:3" x14ac:dyDescent="0.25">
      <c r="B32" s="59" t="s">
        <v>140</v>
      </c>
      <c r="C32" s="59">
        <v>325</v>
      </c>
    </row>
    <row r="33" spans="2:3" x14ac:dyDescent="0.25">
      <c r="B33" s="59" t="s">
        <v>141</v>
      </c>
      <c r="C33" s="59">
        <v>129</v>
      </c>
    </row>
    <row r="34" spans="2:3" x14ac:dyDescent="0.25">
      <c r="B34" s="59" t="s">
        <v>142</v>
      </c>
      <c r="C34" s="59">
        <v>101</v>
      </c>
    </row>
    <row r="35" spans="2:3" x14ac:dyDescent="0.25">
      <c r="B35" s="59" t="s">
        <v>143</v>
      </c>
      <c r="C35" s="59">
        <v>235</v>
      </c>
    </row>
    <row r="36" spans="2:3" x14ac:dyDescent="0.25">
      <c r="B36" s="59" t="s">
        <v>144</v>
      </c>
      <c r="C36" s="59">
        <v>146</v>
      </c>
    </row>
    <row r="37" spans="2:3" x14ac:dyDescent="0.25">
      <c r="B37" s="59" t="s">
        <v>145</v>
      </c>
      <c r="C37" s="59">
        <v>132</v>
      </c>
    </row>
    <row r="38" spans="2:3" x14ac:dyDescent="0.25">
      <c r="B38" s="59" t="s">
        <v>146</v>
      </c>
      <c r="C38" s="59">
        <v>97</v>
      </c>
    </row>
    <row r="39" spans="2:3" x14ac:dyDescent="0.25">
      <c r="B39" s="59" t="s">
        <v>147</v>
      </c>
      <c r="C39" s="59">
        <v>139</v>
      </c>
    </row>
    <row r="40" spans="2:3" x14ac:dyDescent="0.25">
      <c r="B40" s="59" t="s">
        <v>148</v>
      </c>
      <c r="C40" s="59">
        <v>117</v>
      </c>
    </row>
    <row r="41" spans="2:3" x14ac:dyDescent="0.25">
      <c r="B41" s="59" t="s">
        <v>149</v>
      </c>
      <c r="C41" s="59">
        <v>110</v>
      </c>
    </row>
    <row r="42" spans="2:3" x14ac:dyDescent="0.25">
      <c r="B42" s="59" t="s">
        <v>150</v>
      </c>
      <c r="C42" s="59">
        <v>111</v>
      </c>
    </row>
    <row r="43" spans="2:3" x14ac:dyDescent="0.25">
      <c r="B43" s="59" t="s">
        <v>151</v>
      </c>
      <c r="C43" s="59">
        <v>82</v>
      </c>
    </row>
    <row r="44" spans="2:3" x14ac:dyDescent="0.25">
      <c r="B44" s="59" t="s">
        <v>152</v>
      </c>
      <c r="C44" s="59">
        <v>100</v>
      </c>
    </row>
    <row r="45" spans="2:3" x14ac:dyDescent="0.25">
      <c r="B45" s="59" t="s">
        <v>153</v>
      </c>
      <c r="C45" s="59">
        <v>134</v>
      </c>
    </row>
    <row r="46" spans="2:3" x14ac:dyDescent="0.25">
      <c r="B46" s="59" t="s">
        <v>154</v>
      </c>
      <c r="C46" s="59">
        <v>89</v>
      </c>
    </row>
    <row r="47" spans="2:3" x14ac:dyDescent="0.25">
      <c r="B47" s="59" t="s">
        <v>155</v>
      </c>
      <c r="C47" s="59">
        <v>147</v>
      </c>
    </row>
    <row r="48" spans="2:3" x14ac:dyDescent="0.25">
      <c r="B48" s="59" t="s">
        <v>156</v>
      </c>
      <c r="C48" s="59">
        <v>107</v>
      </c>
    </row>
    <row r="49" spans="2:3" x14ac:dyDescent="0.25">
      <c r="B49" s="59" t="s">
        <v>157</v>
      </c>
      <c r="C49" s="59">
        <v>756</v>
      </c>
    </row>
    <row r="50" spans="2:3" x14ac:dyDescent="0.25">
      <c r="B50" s="59" t="s">
        <v>158</v>
      </c>
      <c r="C50" s="59">
        <v>80</v>
      </c>
    </row>
    <row r="51" spans="2:3" x14ac:dyDescent="0.25">
      <c r="B51" s="59" t="s">
        <v>159</v>
      </c>
      <c r="C51" s="59">
        <v>132</v>
      </c>
    </row>
    <row r="52" spans="2:3" x14ac:dyDescent="0.25">
      <c r="B52" s="59" t="s">
        <v>160</v>
      </c>
      <c r="C52" s="59">
        <v>294</v>
      </c>
    </row>
    <row r="53" spans="2:3" x14ac:dyDescent="0.25">
      <c r="B53" s="59" t="s">
        <v>161</v>
      </c>
      <c r="C53" s="59">
        <v>160</v>
      </c>
    </row>
    <row r="54" spans="2:3" x14ac:dyDescent="0.25">
      <c r="B54" s="59" t="s">
        <v>162</v>
      </c>
      <c r="C54" s="59">
        <v>106</v>
      </c>
    </row>
    <row r="55" spans="2:3" x14ac:dyDescent="0.25">
      <c r="B55" s="59" t="s">
        <v>163</v>
      </c>
      <c r="C55" s="59">
        <v>118</v>
      </c>
    </row>
    <row r="56" spans="2:3" x14ac:dyDescent="0.25">
      <c r="B56" s="59" t="s">
        <v>164</v>
      </c>
      <c r="C56" s="59">
        <v>83</v>
      </c>
    </row>
    <row r="57" spans="2:3" x14ac:dyDescent="0.25">
      <c r="B57" s="59" t="s">
        <v>165</v>
      </c>
      <c r="C57" s="59">
        <v>120</v>
      </c>
    </row>
    <row r="58" spans="2:3" x14ac:dyDescent="0.25">
      <c r="B58" s="59" t="s">
        <v>166</v>
      </c>
      <c r="C58" s="59">
        <v>101</v>
      </c>
    </row>
    <row r="59" spans="2:3" x14ac:dyDescent="0.25">
      <c r="B59" s="59" t="s">
        <v>167</v>
      </c>
      <c r="C59" s="59">
        <v>146</v>
      </c>
    </row>
    <row r="60" spans="2:3" x14ac:dyDescent="0.25">
      <c r="B60" s="59" t="s">
        <v>168</v>
      </c>
      <c r="C60" s="59">
        <v>95</v>
      </c>
    </row>
    <row r="61" spans="2:3" x14ac:dyDescent="0.25">
      <c r="B61" s="59" t="s">
        <v>169</v>
      </c>
      <c r="C61" s="59">
        <v>122</v>
      </c>
    </row>
    <row r="62" spans="2:3" x14ac:dyDescent="0.25">
      <c r="B62" s="59" t="s">
        <v>170</v>
      </c>
      <c r="C62" s="59">
        <v>86</v>
      </c>
    </row>
    <row r="63" spans="2:3" x14ac:dyDescent="0.25">
      <c r="B63" s="59" t="s">
        <v>171</v>
      </c>
      <c r="C63" s="59">
        <v>59</v>
      </c>
    </row>
    <row r="64" spans="2:3" x14ac:dyDescent="0.25">
      <c r="B64" s="59" t="s">
        <v>172</v>
      </c>
      <c r="C64" s="59">
        <v>290</v>
      </c>
    </row>
    <row r="65" spans="2:3" x14ac:dyDescent="0.25">
      <c r="B65" s="59" t="s">
        <v>173</v>
      </c>
      <c r="C65" s="59">
        <v>104</v>
      </c>
    </row>
    <row r="66" spans="2:3" x14ac:dyDescent="0.25">
      <c r="B66" s="59" t="s">
        <v>174</v>
      </c>
      <c r="C66" s="59">
        <v>140</v>
      </c>
    </row>
    <row r="67" spans="2:3" x14ac:dyDescent="0.25">
      <c r="B67" s="59" t="s">
        <v>175</v>
      </c>
      <c r="C67" s="59">
        <v>127</v>
      </c>
    </row>
    <row r="68" spans="2:3" x14ac:dyDescent="0.25">
      <c r="B68" s="59" t="s">
        <v>176</v>
      </c>
      <c r="C68" s="59">
        <v>190</v>
      </c>
    </row>
    <row r="69" spans="2:3" x14ac:dyDescent="0.25">
      <c r="B69" s="59" t="s">
        <v>177</v>
      </c>
      <c r="C69" s="59">
        <v>132</v>
      </c>
    </row>
    <row r="70" spans="2:3" x14ac:dyDescent="0.25">
      <c r="B70" s="59" t="s">
        <v>178</v>
      </c>
      <c r="C70" s="59">
        <v>153</v>
      </c>
    </row>
    <row r="71" spans="2:3" x14ac:dyDescent="0.25">
      <c r="B71" s="59" t="s">
        <v>179</v>
      </c>
      <c r="C71" s="59">
        <v>118</v>
      </c>
    </row>
    <row r="72" spans="2:3" x14ac:dyDescent="0.25">
      <c r="B72" s="59" t="s">
        <v>180</v>
      </c>
      <c r="C72" s="59">
        <v>156</v>
      </c>
    </row>
    <row r="73" spans="2:3" x14ac:dyDescent="0.25">
      <c r="B73" s="59" t="s">
        <v>181</v>
      </c>
      <c r="C73" s="59">
        <v>101</v>
      </c>
    </row>
    <row r="74" spans="2:3" x14ac:dyDescent="0.25">
      <c r="B74" s="59" t="s">
        <v>182</v>
      </c>
      <c r="C74" s="59">
        <v>183</v>
      </c>
    </row>
    <row r="75" spans="2:3" x14ac:dyDescent="0.25">
      <c r="B75" s="59" t="s">
        <v>183</v>
      </c>
      <c r="C75" s="59">
        <v>106</v>
      </c>
    </row>
    <row r="76" spans="2:3" x14ac:dyDescent="0.25">
      <c r="B76" s="59" t="s">
        <v>184</v>
      </c>
      <c r="C76" s="59">
        <v>140</v>
      </c>
    </row>
    <row r="77" spans="2:3" x14ac:dyDescent="0.25">
      <c r="B77" s="59" t="s">
        <v>185</v>
      </c>
      <c r="C77" s="59">
        <v>133</v>
      </c>
    </row>
    <row r="78" spans="2:3" x14ac:dyDescent="0.25">
      <c r="B78" s="59" t="s">
        <v>186</v>
      </c>
      <c r="C78" s="59">
        <v>130</v>
      </c>
    </row>
    <row r="79" spans="2:3" x14ac:dyDescent="0.25">
      <c r="B79" s="59" t="s">
        <v>187</v>
      </c>
      <c r="C79" s="59">
        <v>125</v>
      </c>
    </row>
    <row r="80" spans="2:3" x14ac:dyDescent="0.25">
      <c r="B80" s="59" t="s">
        <v>188</v>
      </c>
      <c r="C80" s="59">
        <v>124</v>
      </c>
    </row>
    <row r="81" spans="2:3" x14ac:dyDescent="0.25">
      <c r="B81" s="59" t="s">
        <v>189</v>
      </c>
      <c r="C81" s="59">
        <v>304</v>
      </c>
    </row>
    <row r="82" spans="2:3" x14ac:dyDescent="0.25">
      <c r="B82" s="59" t="s">
        <v>190</v>
      </c>
      <c r="C82" s="59">
        <v>245</v>
      </c>
    </row>
    <row r="83" spans="2:3" x14ac:dyDescent="0.25">
      <c r="B83" s="59" t="s">
        <v>191</v>
      </c>
      <c r="C83" s="59">
        <v>94</v>
      </c>
    </row>
    <row r="84" spans="2:3" x14ac:dyDescent="0.25">
      <c r="B84" s="59" t="s">
        <v>192</v>
      </c>
      <c r="C84" s="59">
        <v>350</v>
      </c>
    </row>
    <row r="85" spans="2:3" x14ac:dyDescent="0.25">
      <c r="B85" s="59" t="s">
        <v>193</v>
      </c>
      <c r="C85" s="59">
        <v>104</v>
      </c>
    </row>
    <row r="86" spans="2:3" x14ac:dyDescent="0.25">
      <c r="B86" s="59" t="s">
        <v>194</v>
      </c>
      <c r="C86" s="59">
        <v>86</v>
      </c>
    </row>
    <row r="87" spans="2:3" x14ac:dyDescent="0.25">
      <c r="B87" s="59" t="s">
        <v>195</v>
      </c>
      <c r="C87" s="59">
        <v>134</v>
      </c>
    </row>
    <row r="88" spans="2:3" x14ac:dyDescent="0.25">
      <c r="B88" s="59" t="s">
        <v>196</v>
      </c>
      <c r="C88" s="59">
        <v>126</v>
      </c>
    </row>
    <row r="89" spans="2:3" x14ac:dyDescent="0.25">
      <c r="B89" s="59" t="s">
        <v>197</v>
      </c>
      <c r="C89" s="59">
        <v>128</v>
      </c>
    </row>
    <row r="90" spans="2:3" x14ac:dyDescent="0.25">
      <c r="B90" s="59" t="s">
        <v>198</v>
      </c>
      <c r="C90" s="59">
        <v>191</v>
      </c>
    </row>
    <row r="91" spans="2:3" x14ac:dyDescent="0.25">
      <c r="B91" s="59" t="s">
        <v>199</v>
      </c>
      <c r="C91" s="59">
        <v>82</v>
      </c>
    </row>
    <row r="92" spans="2:3" x14ac:dyDescent="0.25">
      <c r="B92" s="59" t="s">
        <v>200</v>
      </c>
      <c r="C92" s="59">
        <v>177</v>
      </c>
    </row>
    <row r="93" spans="2:3" x14ac:dyDescent="0.25">
      <c r="B93" s="59" t="s">
        <v>201</v>
      </c>
      <c r="C93" s="59">
        <v>103</v>
      </c>
    </row>
    <row r="94" spans="2:3" x14ac:dyDescent="0.25">
      <c r="B94" s="59" t="s">
        <v>202</v>
      </c>
      <c r="C94" s="59">
        <v>99</v>
      </c>
    </row>
    <row r="95" spans="2:3" x14ac:dyDescent="0.25">
      <c r="B95" s="59" t="s">
        <v>203</v>
      </c>
      <c r="C95" s="59">
        <v>69</v>
      </c>
    </row>
    <row r="96" spans="2:3" x14ac:dyDescent="0.25">
      <c r="B96" s="59" t="s">
        <v>204</v>
      </c>
      <c r="C96" s="59">
        <v>512</v>
      </c>
    </row>
    <row r="97" spans="2:3" x14ac:dyDescent="0.25">
      <c r="B97" s="59" t="s">
        <v>60</v>
      </c>
      <c r="C97" s="59">
        <v>97</v>
      </c>
    </row>
    <row r="98" spans="2:3" x14ac:dyDescent="0.25">
      <c r="B98" s="59" t="s">
        <v>61</v>
      </c>
      <c r="C98" s="59">
        <v>98</v>
      </c>
    </row>
    <row r="99" spans="2:3" x14ac:dyDescent="0.25">
      <c r="B99" s="59" t="s">
        <v>62</v>
      </c>
      <c r="C99" s="59">
        <v>99</v>
      </c>
    </row>
    <row r="100" spans="2:3" x14ac:dyDescent="0.25">
      <c r="B100" s="59" t="s">
        <v>63</v>
      </c>
      <c r="C100" s="59">
        <v>100</v>
      </c>
    </row>
    <row r="101" spans="2:3" x14ac:dyDescent="0.25">
      <c r="B101" s="59" t="s">
        <v>64</v>
      </c>
      <c r="C101" s="59">
        <v>101</v>
      </c>
    </row>
    <row r="102" spans="2:3" x14ac:dyDescent="0.25">
      <c r="B102" s="59" t="s">
        <v>65</v>
      </c>
      <c r="C102" s="59">
        <v>102</v>
      </c>
    </row>
    <row r="103" spans="2:3" x14ac:dyDescent="0.25">
      <c r="B103" s="59" t="s">
        <v>66</v>
      </c>
      <c r="C103" s="59">
        <v>103</v>
      </c>
    </row>
    <row r="104" spans="2:3" x14ac:dyDescent="0.25">
      <c r="B104" s="59" t="s">
        <v>67</v>
      </c>
      <c r="C104" s="59">
        <v>104</v>
      </c>
    </row>
    <row r="105" spans="2:3" x14ac:dyDescent="0.25">
      <c r="B105" s="59" t="s">
        <v>68</v>
      </c>
      <c r="C105" s="59">
        <v>105</v>
      </c>
    </row>
    <row r="106" spans="2:3" x14ac:dyDescent="0.25">
      <c r="B106" s="59" t="s">
        <v>69</v>
      </c>
      <c r="C106" s="59">
        <v>106</v>
      </c>
    </row>
    <row r="107" spans="2:3" x14ac:dyDescent="0.25">
      <c r="B107" s="59" t="s">
        <v>70</v>
      </c>
      <c r="C107" s="59">
        <v>107</v>
      </c>
    </row>
    <row r="108" spans="2:3" x14ac:dyDescent="0.25">
      <c r="B108" s="59" t="s">
        <v>71</v>
      </c>
      <c r="C108" s="59">
        <v>108</v>
      </c>
    </row>
    <row r="109" spans="2:3" x14ac:dyDescent="0.25">
      <c r="B109" s="59" t="s">
        <v>72</v>
      </c>
      <c r="C109" s="59">
        <v>109</v>
      </c>
    </row>
    <row r="110" spans="2:3" x14ac:dyDescent="0.25">
      <c r="B110" s="59" t="s">
        <v>73</v>
      </c>
      <c r="C110" s="59">
        <v>110</v>
      </c>
    </row>
    <row r="111" spans="2:3" x14ac:dyDescent="0.25">
      <c r="B111" s="59" t="s">
        <v>74</v>
      </c>
      <c r="C111" s="59">
        <v>111</v>
      </c>
    </row>
    <row r="112" spans="2:3" x14ac:dyDescent="0.25">
      <c r="B112" s="59" t="s">
        <v>75</v>
      </c>
      <c r="C112" s="59">
        <v>112</v>
      </c>
    </row>
    <row r="113" spans="2:3" x14ac:dyDescent="0.25">
      <c r="B113" s="59" t="s">
        <v>76</v>
      </c>
      <c r="C113" s="59">
        <v>113</v>
      </c>
    </row>
    <row r="114" spans="2:3" x14ac:dyDescent="0.25">
      <c r="B114" s="59" t="s">
        <v>77</v>
      </c>
      <c r="C114" s="59">
        <v>114</v>
      </c>
    </row>
    <row r="115" spans="2:3" x14ac:dyDescent="0.25">
      <c r="B115" s="59" t="s">
        <v>78</v>
      </c>
      <c r="C115" s="59">
        <v>115</v>
      </c>
    </row>
    <row r="116" spans="2:3" x14ac:dyDescent="0.25">
      <c r="B116" s="59" t="s">
        <v>79</v>
      </c>
      <c r="C116" s="59">
        <v>116</v>
      </c>
    </row>
    <row r="117" spans="2:3" x14ac:dyDescent="0.25">
      <c r="B117" s="59" t="s">
        <v>80</v>
      </c>
      <c r="C117" s="59">
        <v>117</v>
      </c>
    </row>
    <row r="118" spans="2:3" x14ac:dyDescent="0.25">
      <c r="B118" s="59" t="s">
        <v>81</v>
      </c>
      <c r="C118" s="59">
        <v>118</v>
      </c>
    </row>
    <row r="119" spans="2:3" x14ac:dyDescent="0.25">
      <c r="B119" s="59" t="s">
        <v>82</v>
      </c>
      <c r="C119" s="59">
        <v>119</v>
      </c>
    </row>
    <row r="120" spans="2:3" x14ac:dyDescent="0.25">
      <c r="B120" s="59" t="s">
        <v>83</v>
      </c>
      <c r="C120" s="59">
        <v>155</v>
      </c>
    </row>
    <row r="121" spans="2:3" x14ac:dyDescent="0.25">
      <c r="B121" s="59" t="s">
        <v>84</v>
      </c>
      <c r="C121" s="59">
        <v>121</v>
      </c>
    </row>
    <row r="122" spans="2:3" x14ac:dyDescent="0.25">
      <c r="B122" s="59" t="s">
        <v>85</v>
      </c>
      <c r="C122" s="59">
        <v>122</v>
      </c>
    </row>
    <row r="123" spans="2:3" x14ac:dyDescent="0.25">
      <c r="B123" s="59" t="s">
        <v>86</v>
      </c>
      <c r="C123" s="59">
        <v>123</v>
      </c>
    </row>
    <row r="124" spans="2:3" x14ac:dyDescent="0.25">
      <c r="B124" s="59" t="s">
        <v>87</v>
      </c>
      <c r="C124" s="59">
        <v>124</v>
      </c>
    </row>
    <row r="125" spans="2:3" x14ac:dyDescent="0.25">
      <c r="B125" s="59" t="s">
        <v>88</v>
      </c>
      <c r="C125" s="59">
        <v>125</v>
      </c>
    </row>
    <row r="126" spans="2:3" x14ac:dyDescent="0.25">
      <c r="B126" s="59" t="s">
        <v>89</v>
      </c>
      <c r="C126" s="59">
        <v>126</v>
      </c>
    </row>
    <row r="127" spans="2:3" x14ac:dyDescent="0.25">
      <c r="B127" s="59" t="s">
        <v>90</v>
      </c>
      <c r="C127" s="59">
        <v>127</v>
      </c>
    </row>
    <row r="128" spans="2:3" x14ac:dyDescent="0.25">
      <c r="B128" s="59" t="s">
        <v>91</v>
      </c>
      <c r="C128" s="59">
        <v>128</v>
      </c>
    </row>
  </sheetData>
  <sheetProtection sheet="1" objects="1" scenarios="1"/>
  <customSheetViews>
    <customSheetView guid="{CEE82286-2DC3-4150-9989-30CF9F331A30}" scale="75">
      <selection activeCell="E14" sqref="E14"/>
      <pageMargins left="0.75" right="0.75" top="1" bottom="1" header="0.5" footer="0.5"/>
      <pageSetup orientation="portrait" r:id="rId1"/>
      <headerFooter alignWithMargins="0"/>
    </customSheetView>
    <customSheetView guid="{4FF8E199-9DCD-4A1D-B440-7626F2F9D72A}" scale="75">
      <selection activeCell="E14" sqref="E14"/>
      <pageMargins left="0.75" right="0.75" top="1" bottom="1" header="0.5" footer="0.5"/>
      <pageSetup orientation="portrait" r:id="rId2"/>
      <headerFooter alignWithMargins="0"/>
    </customSheetView>
  </customSheetViews>
  <phoneticPr fontId="15"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W50"/>
  <sheetViews>
    <sheetView tabSelected="1" zoomScaleNormal="100" workbookViewId="0">
      <selection activeCell="AU37" sqref="AU37"/>
    </sheetView>
  </sheetViews>
  <sheetFormatPr defaultRowHeight="13.2" x14ac:dyDescent="0.25"/>
  <cols>
    <col min="1" max="17" width="3.44140625" customWidth="1"/>
    <col min="18" max="23" width="4.44140625" customWidth="1"/>
    <col min="24" max="24" width="3.44140625" customWidth="1"/>
    <col min="25" max="28" width="4.44140625" customWidth="1"/>
    <col min="29" max="29" width="3.44140625" customWidth="1"/>
    <col min="30" max="38" width="4.44140625" customWidth="1"/>
    <col min="39" max="39" width="1.6640625" customWidth="1"/>
    <col min="40" max="40" width="3.6640625" customWidth="1"/>
    <col min="41" max="41" width="3.44140625" hidden="1" customWidth="1"/>
    <col min="42" max="55" width="3.44140625" customWidth="1"/>
    <col min="56" max="58" width="3.44140625" hidden="1" customWidth="1"/>
    <col min="59" max="60" width="9.33203125" style="55" hidden="1" customWidth="1"/>
    <col min="61" max="61" width="10.33203125" bestFit="1" customWidth="1"/>
    <col min="62" max="62" width="7.5546875" customWidth="1"/>
    <col min="63" max="73" width="3.44140625" customWidth="1"/>
    <col min="74" max="77" width="7.5546875" customWidth="1"/>
  </cols>
  <sheetData>
    <row r="1" spans="1:75" ht="15.6" x14ac:dyDescent="0.3">
      <c r="A1" s="25"/>
      <c r="B1" s="26"/>
      <c r="C1" s="26"/>
      <c r="D1" s="26"/>
      <c r="E1" s="26"/>
      <c r="F1" s="26"/>
      <c r="G1" s="93" t="s">
        <v>16</v>
      </c>
      <c r="H1" s="94"/>
      <c r="I1" s="94"/>
      <c r="J1" s="94"/>
      <c r="K1" s="94"/>
      <c r="L1" s="94"/>
      <c r="M1" s="94"/>
      <c r="N1" s="94"/>
      <c r="O1" s="94"/>
      <c r="P1" s="94"/>
      <c r="Q1" s="94"/>
      <c r="R1" s="94"/>
      <c r="S1" s="94"/>
      <c r="T1" s="94"/>
      <c r="U1" s="94"/>
      <c r="V1" s="94"/>
      <c r="W1" s="94"/>
      <c r="X1" s="94"/>
      <c r="Y1" s="94"/>
      <c r="Z1" s="94"/>
      <c r="AA1" s="94"/>
      <c r="AB1" s="94"/>
      <c r="AC1" s="94"/>
      <c r="AD1" s="94"/>
      <c r="AE1" s="94"/>
      <c r="AF1" s="94"/>
      <c r="AG1" s="94"/>
      <c r="AH1" s="27"/>
      <c r="AI1" s="27"/>
      <c r="AJ1" s="27"/>
      <c r="AK1" s="27"/>
      <c r="AL1" s="27"/>
      <c r="AM1" s="28" t="s">
        <v>17</v>
      </c>
      <c r="AN1" s="37"/>
    </row>
    <row r="2" spans="1:75" ht="15.6" x14ac:dyDescent="0.3">
      <c r="A2" s="29"/>
      <c r="B2" s="30"/>
      <c r="C2" s="30"/>
      <c r="D2" s="30"/>
      <c r="E2" s="30"/>
      <c r="F2" s="30"/>
      <c r="G2" s="95" t="s">
        <v>53</v>
      </c>
      <c r="H2" s="96"/>
      <c r="I2" s="96"/>
      <c r="J2" s="96"/>
      <c r="K2" s="96"/>
      <c r="L2" s="96"/>
      <c r="M2" s="96"/>
      <c r="N2" s="96"/>
      <c r="O2" s="96"/>
      <c r="P2" s="96"/>
      <c r="Q2" s="96"/>
      <c r="R2" s="96"/>
      <c r="S2" s="96"/>
      <c r="T2" s="96"/>
      <c r="U2" s="96"/>
      <c r="V2" s="96"/>
      <c r="W2" s="96"/>
      <c r="X2" s="96"/>
      <c r="Y2" s="96"/>
      <c r="Z2" s="96"/>
      <c r="AA2" s="96"/>
      <c r="AB2" s="96"/>
      <c r="AC2" s="96"/>
      <c r="AD2" s="96"/>
      <c r="AE2" s="96"/>
      <c r="AF2" s="96"/>
      <c r="AG2" s="96"/>
      <c r="AH2" s="99" t="s">
        <v>97</v>
      </c>
      <c r="AI2" s="99"/>
      <c r="AJ2" s="99"/>
      <c r="AK2" s="37"/>
      <c r="AL2" s="37"/>
      <c r="AM2" s="31" t="s">
        <v>96</v>
      </c>
      <c r="AN2" s="37"/>
    </row>
    <row r="3" spans="1:75" x14ac:dyDescent="0.25">
      <c r="A3" s="32"/>
      <c r="B3" s="33"/>
      <c r="C3" s="33"/>
      <c r="D3" s="33"/>
      <c r="E3" s="33"/>
      <c r="F3" s="33"/>
      <c r="G3" s="97"/>
      <c r="H3" s="98"/>
      <c r="I3" s="98"/>
      <c r="J3" s="98"/>
      <c r="K3" s="98"/>
      <c r="L3" s="98"/>
      <c r="M3" s="98"/>
      <c r="N3" s="98"/>
      <c r="O3" s="98"/>
      <c r="P3" s="98"/>
      <c r="Q3" s="98"/>
      <c r="R3" s="98"/>
      <c r="S3" s="98"/>
      <c r="T3" s="98"/>
      <c r="U3" s="98"/>
      <c r="V3" s="98"/>
      <c r="W3" s="98"/>
      <c r="X3" s="98"/>
      <c r="Y3" s="98"/>
      <c r="Z3" s="98"/>
      <c r="AA3" s="98"/>
      <c r="AB3" s="98"/>
      <c r="AC3" s="98"/>
      <c r="AD3" s="98"/>
      <c r="AE3" s="98"/>
      <c r="AF3" s="98"/>
      <c r="AG3" s="98"/>
      <c r="AH3" s="34"/>
      <c r="AI3" s="34"/>
      <c r="AJ3" s="34"/>
      <c r="AK3" s="34"/>
      <c r="AL3" s="34"/>
      <c r="AM3" s="35" t="s">
        <v>18</v>
      </c>
      <c r="AN3" s="37"/>
    </row>
    <row r="4" spans="1:75" ht="15.6" x14ac:dyDescent="0.3">
      <c r="A4" s="30"/>
      <c r="B4" s="30"/>
      <c r="C4" s="30"/>
      <c r="D4" s="30"/>
      <c r="E4" s="30"/>
      <c r="F4" s="30"/>
      <c r="G4" s="30"/>
      <c r="H4" s="30"/>
      <c r="I4" s="36"/>
      <c r="AM4" s="37"/>
      <c r="AN4" s="37"/>
    </row>
    <row r="5" spans="1:75" ht="22.2" customHeight="1" x14ac:dyDescent="0.25">
      <c r="A5" s="100" t="s">
        <v>103</v>
      </c>
      <c r="B5" s="101"/>
      <c r="C5" s="101"/>
      <c r="D5" s="101"/>
      <c r="E5" s="101"/>
      <c r="F5" s="101"/>
      <c r="G5" s="101"/>
      <c r="H5" s="101"/>
      <c r="I5" s="102"/>
      <c r="J5" s="100" t="s">
        <v>104</v>
      </c>
      <c r="K5" s="101"/>
      <c r="L5" s="101"/>
      <c r="M5" s="101"/>
      <c r="N5" s="101"/>
      <c r="O5" s="102"/>
      <c r="P5" s="103" t="s">
        <v>106</v>
      </c>
      <c r="Q5" s="103"/>
      <c r="R5" s="103"/>
      <c r="S5" s="103"/>
      <c r="T5" s="103"/>
      <c r="U5" s="103" t="s">
        <v>107</v>
      </c>
      <c r="V5" s="103"/>
      <c r="W5" s="103"/>
      <c r="X5" s="103"/>
      <c r="Y5" s="103"/>
      <c r="Z5" s="103"/>
      <c r="AA5" s="103"/>
      <c r="AB5" s="103"/>
      <c r="AC5" s="100" t="s">
        <v>105</v>
      </c>
      <c r="AD5" s="101"/>
      <c r="AE5" s="101"/>
      <c r="AF5" s="101"/>
      <c r="AG5" s="101"/>
      <c r="AH5" s="104"/>
      <c r="AI5" s="100" t="s">
        <v>108</v>
      </c>
      <c r="AJ5" s="105"/>
      <c r="AK5" s="105"/>
      <c r="AL5" s="105"/>
      <c r="AM5" s="104"/>
    </row>
    <row r="6" spans="1:75" ht="12.6" customHeight="1" thickBot="1" x14ac:dyDescent="0.3">
      <c r="A6" s="42"/>
      <c r="B6" s="40"/>
      <c r="C6" s="40"/>
      <c r="D6" s="40"/>
      <c r="E6" s="40"/>
      <c r="F6" s="40"/>
      <c r="G6" s="40"/>
      <c r="H6" s="40"/>
      <c r="I6" s="40"/>
      <c r="J6" s="40"/>
      <c r="K6" s="40"/>
      <c r="L6" s="40"/>
      <c r="Q6" s="40"/>
      <c r="W6" s="40"/>
      <c r="AC6" s="40"/>
    </row>
    <row r="7" spans="1:75" ht="15" customHeight="1" x14ac:dyDescent="0.25">
      <c r="A7" s="108"/>
      <c r="B7" s="109"/>
      <c r="C7" s="109"/>
      <c r="D7" s="109"/>
      <c r="E7" s="109"/>
      <c r="F7" s="109"/>
      <c r="G7" s="109"/>
      <c r="H7" s="109"/>
      <c r="I7" s="109"/>
      <c r="J7" s="109"/>
      <c r="K7" s="109"/>
      <c r="L7" s="109"/>
      <c r="M7" s="109"/>
      <c r="N7" s="109"/>
      <c r="O7" s="109"/>
      <c r="P7" s="109"/>
      <c r="Q7" s="110" t="s">
        <v>23</v>
      </c>
      <c r="R7" s="111"/>
      <c r="S7" s="111"/>
      <c r="T7" s="111"/>
      <c r="U7" s="111"/>
      <c r="V7" s="111"/>
      <c r="W7" s="111"/>
      <c r="X7" s="111"/>
      <c r="Y7" s="111"/>
      <c r="Z7" s="111"/>
      <c r="AA7" s="111"/>
      <c r="AB7" s="111"/>
      <c r="AC7" s="111"/>
      <c r="AD7" s="111"/>
      <c r="AE7" s="111"/>
      <c r="AF7" s="111"/>
      <c r="AG7" s="111"/>
      <c r="AH7" s="111"/>
      <c r="AI7" s="111"/>
      <c r="AJ7" s="111"/>
      <c r="AK7" s="111"/>
      <c r="AL7" s="111"/>
      <c r="AM7" s="112"/>
      <c r="AN7" s="53"/>
    </row>
    <row r="8" spans="1:75" ht="22.2" customHeight="1" thickBot="1" x14ac:dyDescent="0.3">
      <c r="A8" s="106"/>
      <c r="B8" s="107"/>
      <c r="C8" s="107"/>
      <c r="D8" s="107"/>
      <c r="E8" s="107"/>
      <c r="F8" s="107"/>
      <c r="G8" s="107"/>
      <c r="H8" s="107"/>
      <c r="I8" s="107"/>
      <c r="J8" s="107"/>
      <c r="K8" s="107"/>
      <c r="L8" s="107"/>
      <c r="M8" s="107"/>
      <c r="N8" s="107"/>
      <c r="O8" s="107"/>
      <c r="P8" s="107"/>
      <c r="Q8" s="113" t="s">
        <v>98</v>
      </c>
      <c r="R8" s="114"/>
      <c r="S8" s="114"/>
      <c r="T8" s="114"/>
      <c r="U8" s="114"/>
      <c r="V8" s="114"/>
      <c r="W8" s="114"/>
      <c r="X8" s="114"/>
      <c r="Y8" s="114"/>
      <c r="Z8" s="114"/>
      <c r="AA8" s="114"/>
      <c r="AB8" s="114"/>
      <c r="AC8" s="115" t="s">
        <v>100</v>
      </c>
      <c r="AD8" s="114"/>
      <c r="AE8" s="114"/>
      <c r="AF8" s="114"/>
      <c r="AG8" s="114"/>
      <c r="AH8" s="114"/>
      <c r="AI8" s="114"/>
      <c r="AJ8" s="114"/>
      <c r="AK8" s="114"/>
      <c r="AL8" s="114"/>
      <c r="AM8" s="116"/>
      <c r="AN8" s="54"/>
    </row>
    <row r="9" spans="1:75" ht="22.2" customHeight="1" thickBot="1" x14ac:dyDescent="0.3">
      <c r="A9" s="40"/>
      <c r="B9" s="40"/>
      <c r="C9" s="40"/>
      <c r="D9" s="40"/>
      <c r="E9" s="40"/>
      <c r="F9" s="40"/>
      <c r="G9" s="40"/>
      <c r="H9" s="40"/>
      <c r="I9" s="40"/>
      <c r="J9" s="40"/>
      <c r="K9" s="40"/>
      <c r="L9" s="40"/>
      <c r="M9" s="40"/>
      <c r="N9" s="40"/>
      <c r="O9" s="40"/>
      <c r="P9" s="40"/>
      <c r="Q9" s="89" t="s">
        <v>99</v>
      </c>
      <c r="R9" s="90"/>
      <c r="S9" s="90"/>
      <c r="T9" s="90"/>
      <c r="U9" s="90"/>
      <c r="V9" s="90"/>
      <c r="W9" s="90"/>
      <c r="X9" s="90"/>
      <c r="Y9" s="90"/>
      <c r="Z9" s="90"/>
      <c r="AA9" s="90"/>
      <c r="AB9" s="90"/>
      <c r="AC9" s="91"/>
      <c r="AD9" s="91"/>
      <c r="AE9" s="91"/>
      <c r="AF9" s="91"/>
      <c r="AG9" s="91"/>
      <c r="AH9" s="91"/>
      <c r="AI9" s="91"/>
      <c r="AJ9" s="91"/>
      <c r="AK9" s="91"/>
      <c r="AL9" s="91"/>
      <c r="AM9" s="92"/>
      <c r="AN9" s="54"/>
    </row>
    <row r="10" spans="1:75" ht="22.2" customHeight="1" thickBot="1" x14ac:dyDescent="0.3">
      <c r="A10" s="1"/>
      <c r="B10" s="1"/>
      <c r="C10" s="1"/>
      <c r="D10" s="1"/>
      <c r="E10" s="1"/>
      <c r="F10" s="1"/>
      <c r="G10" s="1"/>
      <c r="H10" s="1"/>
      <c r="I10" s="4" t="s">
        <v>5</v>
      </c>
      <c r="J10" s="1"/>
      <c r="K10" s="1"/>
      <c r="L10" s="1"/>
      <c r="M10" s="1"/>
      <c r="N10" s="1"/>
      <c r="O10" s="1"/>
      <c r="P10" s="1"/>
      <c r="Q10" s="87"/>
      <c r="R10" s="87"/>
      <c r="S10" s="87"/>
      <c r="T10" s="87"/>
      <c r="U10" s="87"/>
      <c r="V10" s="87"/>
      <c r="W10" s="87"/>
      <c r="X10" s="87"/>
      <c r="Y10" s="87"/>
      <c r="Z10" s="87"/>
      <c r="AA10" s="87"/>
      <c r="AB10" s="87"/>
      <c r="AC10" s="88"/>
      <c r="AD10" s="85"/>
      <c r="AE10" s="85"/>
      <c r="AF10" s="85"/>
      <c r="AG10" s="85"/>
      <c r="AH10" s="85"/>
      <c r="AI10" s="85"/>
      <c r="AJ10" s="85"/>
      <c r="AK10" s="85"/>
      <c r="AL10" s="85"/>
      <c r="AM10" s="85"/>
      <c r="AN10" s="52"/>
      <c r="AQ10" s="57" t="s">
        <v>48</v>
      </c>
      <c r="BI10" s="82"/>
      <c r="BJ10" s="59"/>
      <c r="BK10" s="82"/>
      <c r="BL10" s="59"/>
      <c r="BM10" s="59"/>
      <c r="BN10" s="59"/>
      <c r="BO10" s="59"/>
      <c r="BP10" s="59"/>
      <c r="BQ10" s="59"/>
      <c r="BR10" s="59"/>
      <c r="BS10" s="59"/>
      <c r="BT10" s="59"/>
      <c r="BU10" s="59"/>
      <c r="BV10" s="59"/>
      <c r="BW10" s="59"/>
    </row>
    <row r="11" spans="1:75" ht="15" customHeight="1" thickTop="1" thickBot="1" x14ac:dyDescent="0.3">
      <c r="A11" s="1"/>
      <c r="B11" s="1"/>
      <c r="C11" s="39"/>
      <c r="D11" s="39"/>
      <c r="E11" s="67" t="str">
        <f>T30</f>
        <v>REF1</v>
      </c>
      <c r="F11" s="68"/>
      <c r="G11" s="68"/>
      <c r="H11" s="68"/>
      <c r="I11" s="68"/>
      <c r="J11" s="68"/>
      <c r="K11" s="68"/>
      <c r="L11" s="68"/>
      <c r="M11" s="39"/>
      <c r="N11" s="39"/>
      <c r="O11" s="1"/>
      <c r="P11" s="1"/>
      <c r="S11" s="14"/>
      <c r="V11" s="14"/>
      <c r="Y11" s="14"/>
      <c r="AB11" s="14"/>
      <c r="AD11" s="14"/>
      <c r="AG11" s="14"/>
      <c r="AH11" s="3"/>
      <c r="AI11" s="3"/>
      <c r="AN11" s="59"/>
      <c r="AO11" s="55">
        <f>IF(ISBLANK(AN11),AO10,AN11)</f>
        <v>0</v>
      </c>
      <c r="AP11" s="77"/>
      <c r="AQ11" s="77"/>
      <c r="AR11" s="77"/>
      <c r="AS11" s="77"/>
      <c r="AT11" s="77"/>
      <c r="AU11" s="77"/>
      <c r="AV11" s="77"/>
      <c r="AW11" s="77"/>
      <c r="AX11" s="78"/>
      <c r="AY11" s="78"/>
      <c r="AZ11" s="78"/>
      <c r="BA11" s="78"/>
      <c r="BB11" s="78"/>
      <c r="BC11" s="78"/>
      <c r="BD11" s="51"/>
      <c r="BE11" s="51"/>
      <c r="BF11" s="51"/>
      <c r="BG11" s="55" t="str">
        <f t="shared" ref="BG11:BG16" si="0">IF(COUNTA(AP11:BF11)&gt;0,ROW()-10,"")</f>
        <v/>
      </c>
      <c r="BH11" s="55" t="str">
        <f>IF(COUNTA(AP11:AP43)&gt;0,ROW()-10,"")</f>
        <v/>
      </c>
      <c r="BI11" s="59"/>
      <c r="BJ11" s="59"/>
      <c r="BK11" s="59"/>
      <c r="BL11" s="59"/>
      <c r="BM11" s="59"/>
      <c r="BN11" s="59"/>
      <c r="BO11" s="59"/>
      <c r="BP11" s="59"/>
      <c r="BQ11" s="59"/>
      <c r="BR11" s="59"/>
      <c r="BS11" s="59"/>
      <c r="BT11" s="59"/>
      <c r="BU11" s="59"/>
      <c r="BV11" s="59"/>
      <c r="BW11" s="59"/>
    </row>
    <row r="12" spans="1:75" ht="15" customHeight="1" thickTop="1" thickBot="1" x14ac:dyDescent="0.3">
      <c r="A12" s="1"/>
      <c r="B12" s="1"/>
      <c r="C12" s="39"/>
      <c r="D12" s="67" t="s">
        <v>0</v>
      </c>
      <c r="E12" s="69"/>
      <c r="F12" s="68"/>
      <c r="G12" s="68"/>
      <c r="H12" s="68"/>
      <c r="I12" s="68"/>
      <c r="J12" s="68"/>
      <c r="K12" s="68"/>
      <c r="L12" s="70"/>
      <c r="M12" s="68"/>
      <c r="N12" s="39"/>
      <c r="O12" s="1"/>
      <c r="P12" s="1"/>
      <c r="R12" s="23" t="s">
        <v>11</v>
      </c>
      <c r="S12" s="12"/>
      <c r="T12" s="5" t="s">
        <v>12</v>
      </c>
      <c r="U12" s="6"/>
      <c r="V12" s="12"/>
      <c r="W12" s="24" t="s">
        <v>11</v>
      </c>
      <c r="X12" s="11"/>
      <c r="Y12" s="15" t="s">
        <v>95</v>
      </c>
      <c r="Z12" s="5" t="s">
        <v>12</v>
      </c>
      <c r="AA12" s="6"/>
      <c r="AB12" s="17"/>
      <c r="AD12" s="19"/>
      <c r="AE12" s="5" t="s">
        <v>12</v>
      </c>
      <c r="AF12" s="6"/>
      <c r="AG12" s="17"/>
      <c r="AH12" s="3"/>
      <c r="AI12" s="19"/>
      <c r="AJ12" s="5" t="s">
        <v>12</v>
      </c>
      <c r="AK12" s="6"/>
      <c r="AL12" s="17"/>
      <c r="AN12" s="59"/>
      <c r="AO12" s="55">
        <f t="shared" ref="AO12:AO43" si="1">IF(ISBLANK(AN12),AO11,AN12)</f>
        <v>0</v>
      </c>
      <c r="AP12" s="77"/>
      <c r="AQ12" s="77"/>
      <c r="AR12" s="77"/>
      <c r="AS12" s="77"/>
      <c r="AT12" s="77"/>
      <c r="AU12" s="77"/>
      <c r="AV12" s="77"/>
      <c r="AW12" s="77"/>
      <c r="AX12" s="78"/>
      <c r="AY12" s="78"/>
      <c r="AZ12" s="78"/>
      <c r="BA12" s="78"/>
      <c r="BB12" s="78"/>
      <c r="BC12" s="78"/>
      <c r="BD12" s="51"/>
      <c r="BE12" s="51"/>
      <c r="BF12" s="51"/>
      <c r="BG12" s="55" t="str">
        <f t="shared" si="0"/>
        <v/>
      </c>
      <c r="BH12" s="55" t="str">
        <f>IF(COUNTA(AQ11:AQ43)&gt;0,ROW()-10,"")</f>
        <v/>
      </c>
      <c r="BI12" s="59"/>
      <c r="BJ12" s="59"/>
      <c r="BK12" s="59"/>
      <c r="BL12" s="59"/>
      <c r="BM12" s="59"/>
      <c r="BN12" s="59"/>
      <c r="BO12" s="59"/>
      <c r="BP12" s="59"/>
      <c r="BQ12" s="59"/>
      <c r="BR12" s="59"/>
      <c r="BS12" s="59"/>
      <c r="BT12" s="59"/>
      <c r="BU12" s="59"/>
      <c r="BV12" s="59"/>
      <c r="BW12" s="59"/>
    </row>
    <row r="13" spans="1:75" ht="15" customHeight="1" thickTop="1" thickBot="1" x14ac:dyDescent="0.3">
      <c r="A13" s="1"/>
      <c r="B13" s="1"/>
      <c r="C13" s="67" t="str">
        <f>AE30</f>
        <v>REF2</v>
      </c>
      <c r="D13" s="72">
        <f>AE29</f>
        <v>69</v>
      </c>
      <c r="E13" s="71">
        <f>U29</f>
        <v>325</v>
      </c>
      <c r="F13" s="72">
        <f>U28</f>
        <v>93</v>
      </c>
      <c r="G13" s="72">
        <f>U27</f>
        <v>100</v>
      </c>
      <c r="H13" s="72">
        <f>U26</f>
        <v>112</v>
      </c>
      <c r="I13" s="72">
        <f>U25</f>
        <v>101</v>
      </c>
      <c r="J13" s="72">
        <f>U24</f>
        <v>112</v>
      </c>
      <c r="K13" s="72">
        <f>U22</f>
        <v>127</v>
      </c>
      <c r="L13" s="70"/>
      <c r="M13" s="68"/>
      <c r="N13" s="68"/>
      <c r="O13" s="1"/>
      <c r="P13" s="1"/>
      <c r="R13" s="7" t="s">
        <v>10</v>
      </c>
      <c r="S13" s="13" t="s">
        <v>9</v>
      </c>
      <c r="T13" s="8" t="s">
        <v>6</v>
      </c>
      <c r="U13" s="9"/>
      <c r="V13" s="13" t="s">
        <v>9</v>
      </c>
      <c r="W13" s="10" t="s">
        <v>10</v>
      </c>
      <c r="X13" s="11"/>
      <c r="Y13" s="16" t="s">
        <v>9</v>
      </c>
      <c r="Z13" s="8" t="s">
        <v>7</v>
      </c>
      <c r="AA13" s="9"/>
      <c r="AB13" s="18" t="s">
        <v>9</v>
      </c>
      <c r="AD13" s="20" t="s">
        <v>9</v>
      </c>
      <c r="AE13" s="8" t="s">
        <v>8</v>
      </c>
      <c r="AF13" s="9"/>
      <c r="AG13" s="18" t="s">
        <v>9</v>
      </c>
      <c r="AH13" s="3"/>
      <c r="AI13" s="20" t="s">
        <v>9</v>
      </c>
      <c r="AJ13" s="8" t="s">
        <v>92</v>
      </c>
      <c r="AK13" s="9"/>
      <c r="AL13" s="18" t="s">
        <v>9</v>
      </c>
      <c r="AN13" s="59"/>
      <c r="AO13" s="55">
        <f t="shared" si="1"/>
        <v>0</v>
      </c>
      <c r="AP13" s="77"/>
      <c r="AQ13" s="77"/>
      <c r="AR13" s="77"/>
      <c r="AS13" s="77"/>
      <c r="AT13" s="77"/>
      <c r="AU13" s="77"/>
      <c r="AV13" s="77"/>
      <c r="AW13" s="77"/>
      <c r="AX13" s="78"/>
      <c r="AY13" s="78"/>
      <c r="AZ13" s="78"/>
      <c r="BA13" s="78"/>
      <c r="BB13" s="78"/>
      <c r="BC13" s="78"/>
      <c r="BD13" s="51"/>
      <c r="BE13" s="51"/>
      <c r="BF13" s="51"/>
      <c r="BG13" s="55" t="str">
        <f t="shared" si="0"/>
        <v/>
      </c>
      <c r="BH13" s="55">
        <f>IF(COUNTA(AR11:AR43)&gt;0,ROW()-10,"")</f>
        <v>3</v>
      </c>
      <c r="BI13" s="59"/>
      <c r="BJ13" s="59"/>
      <c r="BK13" s="59"/>
      <c r="BL13" s="59"/>
      <c r="BM13" s="59"/>
      <c r="BN13" s="59"/>
      <c r="BO13" s="59"/>
      <c r="BP13" s="59"/>
      <c r="BQ13" s="59"/>
      <c r="BR13" s="59"/>
      <c r="BS13" s="59"/>
      <c r="BT13" s="59"/>
      <c r="BU13" s="59"/>
      <c r="BV13" s="59"/>
      <c r="BW13" s="59"/>
    </row>
    <row r="14" spans="1:75" ht="15" customHeight="1" thickTop="1" thickBot="1" x14ac:dyDescent="0.3">
      <c r="A14" s="1"/>
      <c r="B14" s="1"/>
      <c r="C14" s="72">
        <f>AF29</f>
        <v>512</v>
      </c>
      <c r="D14" s="72">
        <f>Z29</f>
        <v>59</v>
      </c>
      <c r="E14" s="71">
        <f>Z28</f>
        <v>122</v>
      </c>
      <c r="F14" s="72">
        <f>AA29</f>
        <v>290</v>
      </c>
      <c r="G14" s="72">
        <f>T29</f>
        <v>90</v>
      </c>
      <c r="H14" s="72">
        <f>T28</f>
        <v>106</v>
      </c>
      <c r="I14" s="72">
        <f>T27</f>
        <v>94</v>
      </c>
      <c r="J14" s="72">
        <f>U23</f>
        <v>383</v>
      </c>
      <c r="K14" s="72">
        <f>U21</f>
        <v>89</v>
      </c>
      <c r="L14" s="73">
        <f>U20</f>
        <v>139</v>
      </c>
      <c r="M14" s="68"/>
      <c r="N14" s="68"/>
      <c r="O14" s="1"/>
      <c r="P14" s="1"/>
      <c r="R14" s="46">
        <v>1</v>
      </c>
      <c r="S14" s="75">
        <v>78</v>
      </c>
      <c r="T14" s="49">
        <f>'Impedance Values from Automated'!F1</f>
        <v>158</v>
      </c>
      <c r="U14" s="49">
        <f>'Impedance Values from Automated'!G1</f>
        <v>138</v>
      </c>
      <c r="V14" s="75">
        <v>88</v>
      </c>
      <c r="W14" s="46">
        <v>2</v>
      </c>
      <c r="X14" s="3"/>
      <c r="Y14" s="75">
        <v>77</v>
      </c>
      <c r="Z14" s="49">
        <f>'Impedance Values from Automated'!I1</f>
        <v>129</v>
      </c>
      <c r="AA14" s="49">
        <f>'Impedance Values from Automated'!J1</f>
        <v>101</v>
      </c>
      <c r="AB14" s="75">
        <v>67</v>
      </c>
      <c r="AC14" s="2"/>
      <c r="AD14" s="75">
        <v>96</v>
      </c>
      <c r="AE14" s="49">
        <f>'Impedance Values from Automated'!L1</f>
        <v>104</v>
      </c>
      <c r="AF14" s="49">
        <f>'Impedance Values from Automated'!M1</f>
        <v>140</v>
      </c>
      <c r="AG14" s="75">
        <v>87</v>
      </c>
      <c r="AH14" s="3"/>
      <c r="AI14" s="75"/>
      <c r="AJ14" s="49">
        <f>'Impedance Values from Automated'!O1</f>
        <v>97</v>
      </c>
      <c r="AK14" s="49">
        <f>'Impedance Values from Automated'!P1</f>
        <v>98</v>
      </c>
      <c r="AL14" s="75"/>
      <c r="AN14" s="59"/>
      <c r="AO14" s="55">
        <f t="shared" si="1"/>
        <v>0</v>
      </c>
      <c r="AP14" s="77"/>
      <c r="AQ14" s="77"/>
      <c r="AR14" s="77"/>
      <c r="AS14" s="77"/>
      <c r="AT14" s="77"/>
      <c r="AU14" s="77"/>
      <c r="AV14" s="77"/>
      <c r="AW14" s="77"/>
      <c r="AX14" s="78"/>
      <c r="AY14" s="78"/>
      <c r="AZ14" s="78"/>
      <c r="BA14" s="78"/>
      <c r="BB14" s="78"/>
      <c r="BC14" s="78" t="s">
        <v>95</v>
      </c>
      <c r="BD14" s="51"/>
      <c r="BE14" s="51"/>
      <c r="BF14" s="51"/>
      <c r="BG14" s="55">
        <f t="shared" si="0"/>
        <v>4</v>
      </c>
      <c r="BH14" s="55">
        <f>IF(COUNTA(AS11:AS43)&gt;0,ROW()-10,"")</f>
        <v>4</v>
      </c>
      <c r="BI14" s="59"/>
      <c r="BJ14" s="59"/>
      <c r="BK14" s="59"/>
      <c r="BL14" s="59"/>
      <c r="BM14" s="59"/>
      <c r="BN14" s="59"/>
      <c r="BO14" s="59"/>
      <c r="BP14" s="59"/>
      <c r="BQ14" s="59"/>
      <c r="BR14" s="59"/>
      <c r="BS14" s="59"/>
      <c r="BT14" s="59"/>
      <c r="BU14" s="59"/>
      <c r="BV14" s="59"/>
      <c r="BW14" s="59"/>
    </row>
    <row r="15" spans="1:75" ht="15" customHeight="1" thickTop="1" thickBot="1" x14ac:dyDescent="0.3">
      <c r="A15" s="1"/>
      <c r="B15" s="1"/>
      <c r="C15" s="72">
        <f>AE28</f>
        <v>103</v>
      </c>
      <c r="D15" s="72">
        <f>AF28</f>
        <v>99</v>
      </c>
      <c r="E15" s="71">
        <f>Z27</f>
        <v>146</v>
      </c>
      <c r="F15" s="72">
        <f>AA27</f>
        <v>95</v>
      </c>
      <c r="G15" s="72">
        <f>AA28</f>
        <v>86</v>
      </c>
      <c r="H15" s="72">
        <f>T24</f>
        <v>69</v>
      </c>
      <c r="I15" s="72">
        <f>T26</f>
        <v>110</v>
      </c>
      <c r="J15" s="72">
        <f>T25</f>
        <v>131</v>
      </c>
      <c r="K15" s="72">
        <f>U19</f>
        <v>103</v>
      </c>
      <c r="L15" s="73">
        <f>U18</f>
        <v>113</v>
      </c>
      <c r="M15" s="68"/>
      <c r="N15" s="68"/>
      <c r="O15" s="1"/>
      <c r="P15" s="1"/>
      <c r="R15" s="47">
        <v>3</v>
      </c>
      <c r="S15" s="76">
        <v>68</v>
      </c>
      <c r="T15" s="49">
        <f>'Impedance Values from Automated'!F2</f>
        <v>149</v>
      </c>
      <c r="U15" s="49">
        <f>'Impedance Values from Automated'!G2</f>
        <v>137</v>
      </c>
      <c r="V15" s="76">
        <v>58</v>
      </c>
      <c r="W15" s="47">
        <v>4</v>
      </c>
      <c r="X15" s="3"/>
      <c r="Y15" s="76">
        <v>76</v>
      </c>
      <c r="Z15" s="49">
        <f>'Impedance Values from Automated'!I2</f>
        <v>235</v>
      </c>
      <c r="AA15" s="49">
        <f>'Impedance Values from Automated'!J2</f>
        <v>146</v>
      </c>
      <c r="AB15" s="76">
        <v>66</v>
      </c>
      <c r="AC15" s="2"/>
      <c r="AD15" s="76">
        <v>95</v>
      </c>
      <c r="AE15" s="49">
        <f>'Impedance Values from Automated'!L2</f>
        <v>127</v>
      </c>
      <c r="AF15" s="49">
        <f>'Impedance Values from Automated'!M2</f>
        <v>190</v>
      </c>
      <c r="AG15" s="76">
        <v>86</v>
      </c>
      <c r="AH15" s="3"/>
      <c r="AI15" s="76"/>
      <c r="AJ15" s="49">
        <f>'Impedance Values from Automated'!O2</f>
        <v>99</v>
      </c>
      <c r="AK15" s="49">
        <f>'Impedance Values from Automated'!P2</f>
        <v>100</v>
      </c>
      <c r="AL15" s="76"/>
      <c r="AN15" s="59"/>
      <c r="AO15" s="55">
        <f t="shared" si="1"/>
        <v>0</v>
      </c>
      <c r="AP15" s="77"/>
      <c r="AQ15" s="77"/>
      <c r="AR15" s="166"/>
      <c r="AS15" s="79">
        <v>88</v>
      </c>
      <c r="AT15" s="79">
        <v>78</v>
      </c>
      <c r="AU15" s="79">
        <v>68</v>
      </c>
      <c r="AV15" s="79">
        <v>58</v>
      </c>
      <c r="AW15" s="79">
        <v>48</v>
      </c>
      <c r="AX15" s="79">
        <v>38</v>
      </c>
      <c r="AY15" s="79">
        <v>28</v>
      </c>
      <c r="AZ15" s="79">
        <v>18</v>
      </c>
      <c r="BA15" s="166"/>
      <c r="BB15" s="80"/>
      <c r="BC15" s="78"/>
      <c r="BD15" s="51"/>
      <c r="BE15" s="51"/>
      <c r="BF15" s="51"/>
      <c r="BG15" s="55">
        <f t="shared" si="0"/>
        <v>5</v>
      </c>
      <c r="BH15" s="55">
        <f>IF(COUNTA(AT11:AT43)&gt;0,ROW()-10,"")</f>
        <v>5</v>
      </c>
      <c r="BI15" s="59"/>
      <c r="BJ15" s="59"/>
      <c r="BK15" s="59"/>
      <c r="BL15" s="59"/>
      <c r="BM15" s="59"/>
      <c r="BN15" s="59"/>
      <c r="BO15" s="59"/>
      <c r="BP15" s="59"/>
      <c r="BQ15" s="59"/>
      <c r="BR15" s="59"/>
      <c r="BS15" s="59"/>
      <c r="BT15" s="59"/>
      <c r="BU15" s="59"/>
      <c r="BV15" s="59"/>
      <c r="BW15" s="59"/>
    </row>
    <row r="16" spans="1:75" ht="15" customHeight="1" thickTop="1" thickBot="1" x14ac:dyDescent="0.3">
      <c r="A16" s="1"/>
      <c r="B16" s="1"/>
      <c r="C16" s="72">
        <f>AF27</f>
        <v>177</v>
      </c>
      <c r="D16" s="72">
        <f>AE27</f>
        <v>82</v>
      </c>
      <c r="E16" s="71">
        <f>Z26</f>
        <v>120</v>
      </c>
      <c r="F16" s="72">
        <f>AA26</f>
        <v>101</v>
      </c>
      <c r="G16" s="72">
        <f>AA23</f>
        <v>294</v>
      </c>
      <c r="H16" s="72">
        <f>AA24</f>
        <v>106</v>
      </c>
      <c r="I16" s="72">
        <f>T23</f>
        <v>90</v>
      </c>
      <c r="J16" s="72">
        <f>T20</f>
        <v>114</v>
      </c>
      <c r="K16" s="72">
        <f>T19</f>
        <v>90</v>
      </c>
      <c r="L16" s="73">
        <f>U17</f>
        <v>119</v>
      </c>
      <c r="M16" s="68"/>
      <c r="N16" s="68"/>
      <c r="O16" s="1"/>
      <c r="P16" s="1"/>
      <c r="R16" s="47">
        <v>5</v>
      </c>
      <c r="S16" s="76">
        <v>56</v>
      </c>
      <c r="T16" s="49">
        <f>'Impedance Values from Automated'!F3</f>
        <v>125</v>
      </c>
      <c r="U16" s="49">
        <f>'Impedance Values from Automated'!G3</f>
        <v>116</v>
      </c>
      <c r="V16" s="76">
        <v>48</v>
      </c>
      <c r="W16" s="47">
        <v>6</v>
      </c>
      <c r="X16" s="3"/>
      <c r="Y16" s="76">
        <v>75</v>
      </c>
      <c r="Z16" s="49">
        <f>'Impedance Values from Automated'!I3</f>
        <v>132</v>
      </c>
      <c r="AA16" s="49">
        <f>'Impedance Values from Automated'!J3</f>
        <v>97</v>
      </c>
      <c r="AB16" s="76">
        <v>65</v>
      </c>
      <c r="AC16" s="2"/>
      <c r="AD16" s="76">
        <v>94</v>
      </c>
      <c r="AE16" s="49">
        <f>'Impedance Values from Automated'!L3</f>
        <v>132</v>
      </c>
      <c r="AF16" s="49">
        <f>'Impedance Values from Automated'!M3</f>
        <v>153</v>
      </c>
      <c r="AG16" s="76">
        <v>85</v>
      </c>
      <c r="AH16" s="3"/>
      <c r="AI16" s="76"/>
      <c r="AJ16" s="49">
        <f>'Impedance Values from Automated'!O3</f>
        <v>101</v>
      </c>
      <c r="AK16" s="49">
        <f>'Impedance Values from Automated'!P3</f>
        <v>102</v>
      </c>
      <c r="AL16" s="76"/>
      <c r="AN16" s="59"/>
      <c r="AO16" s="55">
        <f t="shared" si="1"/>
        <v>0</v>
      </c>
      <c r="AP16" s="77"/>
      <c r="AQ16" s="77"/>
      <c r="AR16" s="79">
        <v>96</v>
      </c>
      <c r="AS16" s="79">
        <v>87</v>
      </c>
      <c r="AT16" s="79">
        <v>77</v>
      </c>
      <c r="AU16" s="79">
        <v>67</v>
      </c>
      <c r="AV16" s="79">
        <v>57</v>
      </c>
      <c r="AW16" s="79">
        <v>47</v>
      </c>
      <c r="AX16" s="79">
        <v>37</v>
      </c>
      <c r="AY16" s="79">
        <v>27</v>
      </c>
      <c r="AZ16" s="79">
        <v>17</v>
      </c>
      <c r="BA16" s="79">
        <v>8</v>
      </c>
      <c r="BB16" s="80"/>
      <c r="BC16" s="78"/>
      <c r="BD16" s="51"/>
      <c r="BE16" s="51"/>
      <c r="BF16" s="51"/>
      <c r="BG16" s="55">
        <f t="shared" si="0"/>
        <v>6</v>
      </c>
      <c r="BH16" s="55">
        <f>IF(COUNTA(AU11:AU43)&gt;0,ROW()-10,"")</f>
        <v>6</v>
      </c>
      <c r="BI16" s="59"/>
      <c r="BJ16" s="59"/>
      <c r="BK16" s="59"/>
      <c r="BL16" s="59"/>
      <c r="BM16" s="59"/>
      <c r="BN16" s="59"/>
      <c r="BO16" s="59"/>
      <c r="BP16" s="59"/>
      <c r="BQ16" s="59"/>
      <c r="BR16" s="59"/>
      <c r="BS16" s="59"/>
      <c r="BT16" s="59"/>
      <c r="BU16" s="59"/>
      <c r="BV16" s="59"/>
      <c r="BW16" s="59"/>
    </row>
    <row r="17" spans="1:75" ht="15" customHeight="1" thickTop="1" thickBot="1" x14ac:dyDescent="0.3">
      <c r="A17" s="1"/>
      <c r="B17" s="1"/>
      <c r="C17" s="72">
        <f>AF26</f>
        <v>191</v>
      </c>
      <c r="D17" s="72">
        <f>AE26</f>
        <v>128</v>
      </c>
      <c r="E17" s="71">
        <f>Z25</f>
        <v>118</v>
      </c>
      <c r="F17" s="72">
        <f>AA25</f>
        <v>83</v>
      </c>
      <c r="G17" s="72">
        <v>55</v>
      </c>
      <c r="H17" s="72">
        <f>AA22</f>
        <v>80</v>
      </c>
      <c r="I17" s="72">
        <f>T21</f>
        <v>82</v>
      </c>
      <c r="J17" s="72">
        <f>T22</f>
        <v>500</v>
      </c>
      <c r="K17" s="72">
        <f>T18</f>
        <v>106</v>
      </c>
      <c r="L17" s="73">
        <f>U16</f>
        <v>116</v>
      </c>
      <c r="M17" s="68"/>
      <c r="N17" s="68"/>
      <c r="O17" s="1"/>
      <c r="P17" s="1"/>
      <c r="R17" s="47">
        <v>7</v>
      </c>
      <c r="S17" s="76">
        <v>57</v>
      </c>
      <c r="T17" s="49">
        <f>'Impedance Values from Automated'!F4</f>
        <v>111</v>
      </c>
      <c r="U17" s="49">
        <f>'Impedance Values from Automated'!G4</f>
        <v>119</v>
      </c>
      <c r="V17" s="76">
        <v>38</v>
      </c>
      <c r="W17" s="47">
        <v>8</v>
      </c>
      <c r="X17" s="3"/>
      <c r="Y17" s="76">
        <v>74</v>
      </c>
      <c r="Z17" s="49">
        <f>'Impedance Values from Automated'!I4</f>
        <v>139</v>
      </c>
      <c r="AA17" s="49">
        <f>'Impedance Values from Automated'!J4</f>
        <v>117</v>
      </c>
      <c r="AB17" s="76">
        <v>64</v>
      </c>
      <c r="AC17" s="2"/>
      <c r="AD17" s="76">
        <v>93</v>
      </c>
      <c r="AE17" s="49">
        <f>'Impedance Values from Automated'!L4</f>
        <v>118</v>
      </c>
      <c r="AF17" s="49">
        <f>'Impedance Values from Automated'!M4</f>
        <v>156</v>
      </c>
      <c r="AG17" s="76">
        <v>84</v>
      </c>
      <c r="AH17" s="3"/>
      <c r="AI17" s="76"/>
      <c r="AJ17" s="49">
        <f>'Impedance Values from Automated'!O4</f>
        <v>103</v>
      </c>
      <c r="AK17" s="49">
        <f>'Impedance Values from Automated'!P4</f>
        <v>104</v>
      </c>
      <c r="AL17" s="76"/>
      <c r="AN17" s="59"/>
      <c r="AO17" s="55">
        <f t="shared" si="1"/>
        <v>0</v>
      </c>
      <c r="AP17" s="78"/>
      <c r="AQ17" s="78"/>
      <c r="AR17" s="79">
        <v>95</v>
      </c>
      <c r="AS17" s="79">
        <v>86</v>
      </c>
      <c r="AT17" s="79">
        <v>76</v>
      </c>
      <c r="AU17" s="79">
        <v>66</v>
      </c>
      <c r="AV17" s="79">
        <v>56</v>
      </c>
      <c r="AW17" s="79">
        <v>46</v>
      </c>
      <c r="AX17" s="79">
        <v>36</v>
      </c>
      <c r="AY17" s="79">
        <v>26</v>
      </c>
      <c r="AZ17" s="79">
        <v>16</v>
      </c>
      <c r="BA17" s="79">
        <v>7</v>
      </c>
      <c r="BB17" s="80"/>
      <c r="BC17" s="78"/>
      <c r="BD17" s="51"/>
      <c r="BE17" s="51"/>
      <c r="BF17" s="51"/>
      <c r="BG17" s="55">
        <f t="shared" ref="BG17:BG43" si="2">IF(COUNTA(AP17:BF17)&gt;0,ROW()-10,"")</f>
        <v>7</v>
      </c>
      <c r="BH17" s="55">
        <f>IF(COUNTA(AV11:AV43)&gt;0,ROW()-10,"")</f>
        <v>7</v>
      </c>
      <c r="BI17" s="59"/>
      <c r="BJ17" s="59"/>
      <c r="BK17" s="59"/>
      <c r="BL17" s="59"/>
      <c r="BM17" s="59"/>
      <c r="BN17" s="59"/>
      <c r="BO17" s="59"/>
      <c r="BP17" s="59"/>
      <c r="BQ17" s="59"/>
      <c r="BR17" s="59"/>
      <c r="BS17" s="59"/>
      <c r="BT17" s="59"/>
      <c r="BU17" s="59"/>
      <c r="BV17" s="59"/>
      <c r="BW17" s="59"/>
    </row>
    <row r="18" spans="1:75" ht="15" customHeight="1" thickTop="1" thickBot="1" x14ac:dyDescent="0.3">
      <c r="A18" s="74"/>
      <c r="B18" s="1"/>
      <c r="C18" s="72">
        <f>AF25</f>
        <v>126</v>
      </c>
      <c r="D18" s="72">
        <f>AE25</f>
        <v>134</v>
      </c>
      <c r="E18" s="71">
        <f>Z24</f>
        <v>160</v>
      </c>
      <c r="F18" s="72">
        <f>Z23</f>
        <v>132</v>
      </c>
      <c r="G18" s="72">
        <v>55</v>
      </c>
      <c r="H18" s="72">
        <f>AA18</f>
        <v>111</v>
      </c>
      <c r="I18" s="72">
        <f>AA21</f>
        <v>107</v>
      </c>
      <c r="J18" s="72">
        <f>T16</f>
        <v>125</v>
      </c>
      <c r="K18" s="72">
        <f>T17</f>
        <v>111</v>
      </c>
      <c r="L18" s="73">
        <f>U15</f>
        <v>137</v>
      </c>
      <c r="M18" s="68"/>
      <c r="N18" s="68"/>
      <c r="O18" s="1"/>
      <c r="P18" s="74"/>
      <c r="R18" s="47">
        <v>9</v>
      </c>
      <c r="S18" s="76">
        <v>47</v>
      </c>
      <c r="T18" s="49">
        <f>'Impedance Values from Automated'!F5</f>
        <v>106</v>
      </c>
      <c r="U18" s="49">
        <f>'Impedance Values from Automated'!G5</f>
        <v>113</v>
      </c>
      <c r="V18" s="76">
        <v>28</v>
      </c>
      <c r="W18" s="47">
        <v>10</v>
      </c>
      <c r="X18" s="3"/>
      <c r="Y18" s="76">
        <v>73</v>
      </c>
      <c r="Z18" s="49">
        <f>'Impedance Values from Automated'!I5</f>
        <v>110</v>
      </c>
      <c r="AA18" s="49">
        <f>'Impedance Values from Automated'!J5</f>
        <v>111</v>
      </c>
      <c r="AB18" s="76">
        <v>54</v>
      </c>
      <c r="AC18" s="2"/>
      <c r="AD18" s="76">
        <v>92</v>
      </c>
      <c r="AE18" s="49">
        <f>'Impedance Values from Automated'!L5</f>
        <v>101</v>
      </c>
      <c r="AF18" s="49">
        <f>'Impedance Values from Automated'!M5</f>
        <v>183</v>
      </c>
      <c r="AG18" s="76">
        <v>83</v>
      </c>
      <c r="AH18" s="3"/>
      <c r="AI18" s="76"/>
      <c r="AJ18" s="49">
        <f>'Impedance Values from Automated'!O5</f>
        <v>105</v>
      </c>
      <c r="AK18" s="49">
        <f>'Impedance Values from Automated'!P5</f>
        <v>106</v>
      </c>
      <c r="AL18" s="76"/>
      <c r="AN18" s="59"/>
      <c r="AO18" s="55">
        <f t="shared" si="1"/>
        <v>0</v>
      </c>
      <c r="AP18" s="77"/>
      <c r="AQ18" s="77"/>
      <c r="AR18" s="79">
        <v>94</v>
      </c>
      <c r="AS18" s="79">
        <v>85</v>
      </c>
      <c r="AT18" s="79">
        <v>75</v>
      </c>
      <c r="AU18" s="79">
        <v>65</v>
      </c>
      <c r="AV18" s="79">
        <v>55</v>
      </c>
      <c r="AW18" s="79">
        <v>45</v>
      </c>
      <c r="AX18" s="79">
        <v>35</v>
      </c>
      <c r="AY18" s="79">
        <v>25</v>
      </c>
      <c r="AZ18" s="79">
        <v>15</v>
      </c>
      <c r="BA18" s="79">
        <v>6</v>
      </c>
      <c r="BB18" s="80"/>
      <c r="BC18" s="78"/>
      <c r="BD18" s="51"/>
      <c r="BE18" s="51"/>
      <c r="BF18" s="51"/>
      <c r="BG18" s="55">
        <f t="shared" si="2"/>
        <v>8</v>
      </c>
      <c r="BH18" s="55">
        <f>IF(COUNTA(AW11:AW43)&gt;0,ROW()-10,"")</f>
        <v>8</v>
      </c>
      <c r="BI18" s="59"/>
      <c r="BJ18" s="59"/>
      <c r="BK18" s="59"/>
      <c r="BL18" s="59"/>
      <c r="BM18" s="59"/>
      <c r="BN18" s="59"/>
      <c r="BO18" s="59"/>
      <c r="BP18" s="59"/>
      <c r="BQ18" s="59"/>
      <c r="BR18" s="59"/>
      <c r="BS18" s="59"/>
      <c r="BT18" s="59"/>
      <c r="BU18" s="59"/>
      <c r="BV18" s="59"/>
      <c r="BW18" s="59"/>
    </row>
    <row r="19" spans="1:75" ht="15" customHeight="1" thickTop="1" thickBot="1" x14ac:dyDescent="0.3">
      <c r="A19" s="1"/>
      <c r="B19" s="1"/>
      <c r="C19" s="72">
        <f>AE24</f>
        <v>104</v>
      </c>
      <c r="D19" s="72">
        <f>AF24</f>
        <v>86</v>
      </c>
      <c r="E19" s="71">
        <f>Z22</f>
        <v>756</v>
      </c>
      <c r="F19" s="72">
        <f>Z21</f>
        <v>147</v>
      </c>
      <c r="G19" s="72">
        <f>Z19</f>
        <v>82</v>
      </c>
      <c r="H19" s="72">
        <f>AA17</f>
        <v>117</v>
      </c>
      <c r="I19" s="72">
        <f>AA16</f>
        <v>97</v>
      </c>
      <c r="J19" s="72">
        <f>AA15</f>
        <v>146</v>
      </c>
      <c r="K19" s="72">
        <f>AA14</f>
        <v>101</v>
      </c>
      <c r="L19" s="73">
        <f>T15</f>
        <v>149</v>
      </c>
      <c r="M19" s="68"/>
      <c r="N19" s="68"/>
      <c r="O19" s="1"/>
      <c r="P19" s="1"/>
      <c r="R19" s="47">
        <v>11</v>
      </c>
      <c r="S19" s="76">
        <v>37</v>
      </c>
      <c r="T19" s="49">
        <f>'Impedance Values from Automated'!F6</f>
        <v>90</v>
      </c>
      <c r="U19" s="49">
        <f>'Impedance Values from Automated'!G6</f>
        <v>103</v>
      </c>
      <c r="V19" s="76">
        <v>27</v>
      </c>
      <c r="W19" s="47">
        <v>12</v>
      </c>
      <c r="X19" s="3"/>
      <c r="Y19" s="76">
        <v>63</v>
      </c>
      <c r="Z19" s="49">
        <f>'Impedance Values from Automated'!I6</f>
        <v>82</v>
      </c>
      <c r="AA19" s="49">
        <f>'Impedance Values from Automated'!J6</f>
        <v>100</v>
      </c>
      <c r="AB19" s="76">
        <v>53</v>
      </c>
      <c r="AC19" s="2"/>
      <c r="AD19" s="76">
        <v>91</v>
      </c>
      <c r="AE19" s="49">
        <f>'Impedance Values from Automated'!L6</f>
        <v>106</v>
      </c>
      <c r="AF19" s="49">
        <f>'Impedance Values from Automated'!M6</f>
        <v>140</v>
      </c>
      <c r="AG19" s="76">
        <v>82</v>
      </c>
      <c r="AH19" s="3"/>
      <c r="AI19" s="76"/>
      <c r="AJ19" s="49">
        <f>'Impedance Values from Automated'!O6</f>
        <v>107</v>
      </c>
      <c r="AK19" s="49">
        <f>'Impedance Values from Automated'!P6</f>
        <v>108</v>
      </c>
      <c r="AL19" s="76"/>
      <c r="AN19" s="59"/>
      <c r="AO19" s="55">
        <f t="shared" si="1"/>
        <v>0</v>
      </c>
      <c r="AP19" s="77"/>
      <c r="AQ19" s="77"/>
      <c r="AR19" s="79">
        <v>93</v>
      </c>
      <c r="AS19" s="79">
        <v>84</v>
      </c>
      <c r="AT19" s="79">
        <v>74</v>
      </c>
      <c r="AU19" s="79">
        <v>64</v>
      </c>
      <c r="AV19" s="79">
        <v>54</v>
      </c>
      <c r="AW19" s="79">
        <v>44</v>
      </c>
      <c r="AX19" s="79">
        <v>34</v>
      </c>
      <c r="AY19" s="79">
        <v>24</v>
      </c>
      <c r="AZ19" s="79">
        <v>14</v>
      </c>
      <c r="BA19" s="79">
        <v>5</v>
      </c>
      <c r="BB19" s="80"/>
      <c r="BC19" s="78"/>
      <c r="BD19" s="51"/>
      <c r="BE19" s="51"/>
      <c r="BF19" s="51"/>
      <c r="BG19" s="55">
        <f t="shared" si="2"/>
        <v>9</v>
      </c>
      <c r="BH19" s="55">
        <f>IF(COUNTA(AX11:AX43)&gt;0,ROW()-10,"")</f>
        <v>9</v>
      </c>
      <c r="BI19" s="59" t="s">
        <v>51</v>
      </c>
      <c r="BJ19" s="59"/>
      <c r="BK19" s="59"/>
      <c r="BL19" s="59"/>
      <c r="BM19" s="59"/>
      <c r="BN19" s="59"/>
      <c r="BO19" s="59"/>
      <c r="BP19" s="59"/>
      <c r="BQ19" s="59"/>
      <c r="BR19" s="59"/>
      <c r="BS19" s="59"/>
      <c r="BT19" s="59"/>
      <c r="BU19" s="59"/>
      <c r="BV19" s="59"/>
      <c r="BW19" s="59"/>
    </row>
    <row r="20" spans="1:75" ht="15" customHeight="1" thickTop="1" thickBot="1" x14ac:dyDescent="0.3">
      <c r="A20" s="1"/>
      <c r="B20" s="1"/>
      <c r="C20" s="72">
        <f>AE23</f>
        <v>94</v>
      </c>
      <c r="D20" s="72">
        <f>AF23</f>
        <v>350</v>
      </c>
      <c r="E20" s="71">
        <f>AF22</f>
        <v>245</v>
      </c>
      <c r="F20" s="72">
        <f>Z20</f>
        <v>134</v>
      </c>
      <c r="G20" s="72">
        <f>Z18</f>
        <v>110</v>
      </c>
      <c r="H20" s="72">
        <f>Z17</f>
        <v>139</v>
      </c>
      <c r="I20" s="72">
        <f>Z16</f>
        <v>132</v>
      </c>
      <c r="J20" s="72">
        <f>Z15</f>
        <v>235</v>
      </c>
      <c r="K20" s="72">
        <f>Z14</f>
        <v>129</v>
      </c>
      <c r="L20" s="73">
        <f>T14</f>
        <v>158</v>
      </c>
      <c r="M20" s="72">
        <f>U14</f>
        <v>138</v>
      </c>
      <c r="N20" s="68"/>
      <c r="O20" s="1"/>
      <c r="P20" s="1"/>
      <c r="R20" s="47">
        <v>13</v>
      </c>
      <c r="S20" s="76">
        <v>36</v>
      </c>
      <c r="T20" s="49">
        <f>'Impedance Values from Automated'!F7</f>
        <v>114</v>
      </c>
      <c r="U20" s="49">
        <f>'Impedance Values from Automated'!G7</f>
        <v>139</v>
      </c>
      <c r="V20" s="76">
        <v>18</v>
      </c>
      <c r="W20" s="47">
        <v>14</v>
      </c>
      <c r="X20" s="3"/>
      <c r="Y20" s="76">
        <v>72</v>
      </c>
      <c r="Z20" s="49">
        <f>'Impedance Values from Automated'!I7</f>
        <v>134</v>
      </c>
      <c r="AA20" s="49">
        <f>'Impedance Values from Automated'!J7</f>
        <v>89</v>
      </c>
      <c r="AB20" s="76">
        <v>43</v>
      </c>
      <c r="AC20" s="2"/>
      <c r="AD20" s="76">
        <v>90</v>
      </c>
      <c r="AE20" s="49">
        <f>'Impedance Values from Automated'!L7</f>
        <v>133</v>
      </c>
      <c r="AF20" s="49">
        <f>'Impedance Values from Automated'!M7</f>
        <v>130</v>
      </c>
      <c r="AG20" s="76">
        <v>81</v>
      </c>
      <c r="AH20" s="3"/>
      <c r="AI20" s="76"/>
      <c r="AJ20" s="49">
        <f>'Impedance Values from Automated'!O7</f>
        <v>109</v>
      </c>
      <c r="AK20" s="49">
        <f>'Impedance Values from Automated'!P7</f>
        <v>110</v>
      </c>
      <c r="AL20" s="76"/>
      <c r="AN20" s="59"/>
      <c r="AO20" s="55">
        <f t="shared" si="1"/>
        <v>0</v>
      </c>
      <c r="AP20" s="81"/>
      <c r="AQ20" s="77"/>
      <c r="AR20" s="79">
        <v>92</v>
      </c>
      <c r="AS20" s="79">
        <v>83</v>
      </c>
      <c r="AT20" s="79">
        <v>73</v>
      </c>
      <c r="AU20" s="79">
        <v>63</v>
      </c>
      <c r="AV20" s="79">
        <v>53</v>
      </c>
      <c r="AW20" s="79">
        <v>43</v>
      </c>
      <c r="AX20" s="79">
        <v>33</v>
      </c>
      <c r="AY20" s="79">
        <v>23</v>
      </c>
      <c r="AZ20" s="79">
        <v>13</v>
      </c>
      <c r="BA20" s="79">
        <v>4</v>
      </c>
      <c r="BB20" s="80"/>
      <c r="BC20" s="78"/>
      <c r="BD20" s="51"/>
      <c r="BE20" s="51"/>
      <c r="BF20" s="51"/>
      <c r="BG20" s="55">
        <f t="shared" si="2"/>
        <v>10</v>
      </c>
      <c r="BH20" s="55">
        <f>IF(COUNTA(AY11:AY43)&gt;0,ROW()-10,"")</f>
        <v>10</v>
      </c>
      <c r="BI20" s="59"/>
      <c r="BJ20" s="59"/>
      <c r="BK20" s="59"/>
      <c r="BL20" s="59"/>
      <c r="BM20" s="59"/>
      <c r="BN20" s="59"/>
      <c r="BO20" s="59"/>
      <c r="BP20" s="59"/>
      <c r="BQ20" s="59"/>
      <c r="BR20" s="59"/>
      <c r="BS20" s="59"/>
      <c r="BT20" s="59"/>
      <c r="BU20" s="59"/>
      <c r="BV20" s="59"/>
      <c r="BW20" s="59"/>
    </row>
    <row r="21" spans="1:75" ht="15" customHeight="1" thickTop="1" thickBot="1" x14ac:dyDescent="0.3">
      <c r="A21" s="1"/>
      <c r="B21" s="1"/>
      <c r="C21" s="50"/>
      <c r="D21" s="72">
        <f>AE22</f>
        <v>304</v>
      </c>
      <c r="E21" s="71">
        <f>AF21</f>
        <v>124</v>
      </c>
      <c r="F21" s="72">
        <f>AF20</f>
        <v>130</v>
      </c>
      <c r="G21" s="72">
        <f>AF19</f>
        <v>140</v>
      </c>
      <c r="H21" s="72">
        <f>AF18</f>
        <v>183</v>
      </c>
      <c r="I21" s="72">
        <f>AF17</f>
        <v>156</v>
      </c>
      <c r="J21" s="72">
        <f>AF16</f>
        <v>153</v>
      </c>
      <c r="K21" s="72">
        <f>AF15</f>
        <v>190</v>
      </c>
      <c r="L21" s="73">
        <f>AF14</f>
        <v>140</v>
      </c>
      <c r="M21" s="67" t="s">
        <v>0</v>
      </c>
      <c r="N21" s="39"/>
      <c r="O21" s="1"/>
      <c r="P21" s="1"/>
      <c r="R21" s="47">
        <v>15</v>
      </c>
      <c r="S21" s="76">
        <v>45</v>
      </c>
      <c r="T21" s="49">
        <f>'Impedance Values from Automated'!F8</f>
        <v>82</v>
      </c>
      <c r="U21" s="49">
        <f>'Impedance Values from Automated'!G8</f>
        <v>89</v>
      </c>
      <c r="V21" s="76">
        <v>17</v>
      </c>
      <c r="W21" s="47">
        <v>16</v>
      </c>
      <c r="X21" s="3"/>
      <c r="Y21" s="76">
        <v>62</v>
      </c>
      <c r="Z21" s="49">
        <f>'Impedance Values from Automated'!I8</f>
        <v>147</v>
      </c>
      <c r="AA21" s="49">
        <f>'Impedance Values from Automated'!J8</f>
        <v>107</v>
      </c>
      <c r="AB21" s="76">
        <v>55</v>
      </c>
      <c r="AC21" s="2"/>
      <c r="AD21" s="76">
        <v>89</v>
      </c>
      <c r="AE21" s="49">
        <f>'Impedance Values from Automated'!L8</f>
        <v>125</v>
      </c>
      <c r="AF21" s="49">
        <f>'Impedance Values from Automated'!M8</f>
        <v>124</v>
      </c>
      <c r="AG21" s="76">
        <v>80</v>
      </c>
      <c r="AH21" s="3"/>
      <c r="AI21" s="76"/>
      <c r="AJ21" s="49">
        <f>'Impedance Values from Automated'!O8</f>
        <v>111</v>
      </c>
      <c r="AK21" s="49">
        <f>'Impedance Values from Automated'!P8</f>
        <v>112</v>
      </c>
      <c r="AL21" s="76"/>
      <c r="AN21" s="59"/>
      <c r="AO21" s="55">
        <f t="shared" si="1"/>
        <v>0</v>
      </c>
      <c r="AP21" s="77"/>
      <c r="AQ21" s="77"/>
      <c r="AR21" s="79">
        <v>91</v>
      </c>
      <c r="AS21" s="79">
        <v>82</v>
      </c>
      <c r="AT21" s="79">
        <v>72</v>
      </c>
      <c r="AU21" s="79">
        <v>62</v>
      </c>
      <c r="AV21" s="79">
        <v>52</v>
      </c>
      <c r="AW21" s="79">
        <v>42</v>
      </c>
      <c r="AX21" s="79">
        <v>32</v>
      </c>
      <c r="AY21" s="79">
        <v>22</v>
      </c>
      <c r="AZ21" s="79">
        <v>12</v>
      </c>
      <c r="BA21" s="79">
        <v>3</v>
      </c>
      <c r="BB21" s="80"/>
      <c r="BC21" s="78"/>
      <c r="BD21" s="51"/>
      <c r="BE21" s="51"/>
      <c r="BF21" s="51"/>
      <c r="BG21" s="55">
        <f t="shared" si="2"/>
        <v>11</v>
      </c>
      <c r="BH21" s="55">
        <f>IF(COUNTA(AZ11:AZ43)&gt;0,ROW()-10,"")</f>
        <v>11</v>
      </c>
      <c r="BI21" s="59"/>
      <c r="BJ21" s="59"/>
      <c r="BK21" s="59"/>
      <c r="BL21" s="59"/>
      <c r="BM21" s="59"/>
      <c r="BN21" s="59"/>
      <c r="BO21" s="59"/>
      <c r="BP21" s="59"/>
      <c r="BQ21" s="59"/>
      <c r="BR21" s="59"/>
      <c r="BS21" s="59"/>
      <c r="BT21" s="59"/>
      <c r="BU21" s="59"/>
      <c r="BV21" s="59"/>
      <c r="BW21" s="59"/>
    </row>
    <row r="22" spans="1:75" ht="15" customHeight="1" thickTop="1" thickBot="1" x14ac:dyDescent="0.3">
      <c r="A22" s="1"/>
      <c r="B22" s="1"/>
      <c r="C22" s="39"/>
      <c r="D22" s="39"/>
      <c r="E22" s="72">
        <f>AE21</f>
        <v>125</v>
      </c>
      <c r="F22" s="72">
        <f>AE20</f>
        <v>133</v>
      </c>
      <c r="G22" s="72">
        <f>AE19</f>
        <v>106</v>
      </c>
      <c r="H22" s="72">
        <f>AE18</f>
        <v>101</v>
      </c>
      <c r="I22" s="72">
        <f>AE17</f>
        <v>118</v>
      </c>
      <c r="J22" s="72">
        <f>AE16</f>
        <v>132</v>
      </c>
      <c r="K22" s="72">
        <f>AE15</f>
        <v>127</v>
      </c>
      <c r="L22" s="72">
        <f>AE14</f>
        <v>104</v>
      </c>
      <c r="M22" s="39"/>
      <c r="N22" s="39"/>
      <c r="O22" s="1"/>
      <c r="P22" s="1"/>
      <c r="R22" s="47">
        <v>17</v>
      </c>
      <c r="S22" s="76">
        <v>46</v>
      </c>
      <c r="T22" s="49">
        <f>'Impedance Values from Automated'!F9</f>
        <v>500</v>
      </c>
      <c r="U22" s="49">
        <f>'Impedance Values from Automated'!G9</f>
        <v>127</v>
      </c>
      <c r="V22" s="76">
        <v>8</v>
      </c>
      <c r="W22" s="47">
        <v>18</v>
      </c>
      <c r="X22" s="3"/>
      <c r="Y22" s="76">
        <v>61</v>
      </c>
      <c r="Z22" s="49">
        <f>'Impedance Values from Automated'!I9</f>
        <v>756</v>
      </c>
      <c r="AA22" s="49">
        <f>'Impedance Values from Automated'!J9</f>
        <v>80</v>
      </c>
      <c r="AB22" s="76">
        <v>44</v>
      </c>
      <c r="AC22" s="2"/>
      <c r="AD22" s="76">
        <v>79</v>
      </c>
      <c r="AE22" s="49">
        <f>'Impedance Values from Automated'!L9</f>
        <v>304</v>
      </c>
      <c r="AF22" s="49">
        <f>'Impedance Values from Automated'!M9</f>
        <v>245</v>
      </c>
      <c r="AG22" s="76">
        <v>71</v>
      </c>
      <c r="AH22" s="3"/>
      <c r="AI22" s="76"/>
      <c r="AJ22" s="49">
        <f>'Impedance Values from Automated'!O9</f>
        <v>113</v>
      </c>
      <c r="AK22" s="49">
        <f>'Impedance Values from Automated'!P9</f>
        <v>114</v>
      </c>
      <c r="AL22" s="76"/>
      <c r="AN22" s="59"/>
      <c r="AO22" s="55">
        <f t="shared" si="1"/>
        <v>0</v>
      </c>
      <c r="AP22" s="77"/>
      <c r="AQ22" s="77"/>
      <c r="AR22" s="79">
        <v>90</v>
      </c>
      <c r="AS22" s="79">
        <v>81</v>
      </c>
      <c r="AT22" s="79">
        <v>71</v>
      </c>
      <c r="AU22" s="79">
        <v>61</v>
      </c>
      <c r="AV22" s="79">
        <v>51</v>
      </c>
      <c r="AW22" s="79">
        <v>41</v>
      </c>
      <c r="AX22" s="79">
        <v>31</v>
      </c>
      <c r="AY22" s="79">
        <v>21</v>
      </c>
      <c r="AZ22" s="79">
        <v>11</v>
      </c>
      <c r="BA22" s="79">
        <v>2</v>
      </c>
      <c r="BB22" s="80"/>
      <c r="BC22" s="78"/>
      <c r="BD22" s="51"/>
      <c r="BE22" s="51"/>
      <c r="BF22" s="51"/>
      <c r="BG22" s="55">
        <f t="shared" si="2"/>
        <v>12</v>
      </c>
      <c r="BH22" s="55">
        <f>IF(COUNTA(BA11:BA43)&gt;0,ROW()-10,"")</f>
        <v>12</v>
      </c>
      <c r="BI22" s="59"/>
      <c r="BJ22" s="59"/>
      <c r="BK22" s="59"/>
      <c r="BL22" s="59"/>
      <c r="BM22" s="59"/>
      <c r="BN22" s="59"/>
      <c r="BO22" s="59"/>
      <c r="BP22" s="59"/>
      <c r="BQ22" s="59"/>
      <c r="BR22" s="59"/>
      <c r="BS22" s="59"/>
      <c r="BT22" s="59"/>
      <c r="BU22" s="59"/>
      <c r="BV22" s="59"/>
      <c r="BW22" s="59"/>
    </row>
    <row r="23" spans="1:75" ht="15" customHeight="1" thickTop="1" x14ac:dyDescent="0.25">
      <c r="A23" s="1"/>
      <c r="B23" s="1"/>
      <c r="C23" s="1"/>
      <c r="D23" s="1"/>
      <c r="E23" s="1"/>
      <c r="F23" s="3" t="s">
        <v>4</v>
      </c>
      <c r="G23" s="1"/>
      <c r="H23" s="1"/>
      <c r="I23" s="1"/>
      <c r="J23" s="1"/>
      <c r="K23" s="1"/>
      <c r="L23" s="1"/>
      <c r="M23" s="1"/>
      <c r="N23" s="1"/>
      <c r="O23" s="1"/>
      <c r="P23" s="1"/>
      <c r="R23" s="47">
        <v>19</v>
      </c>
      <c r="S23" s="76">
        <v>35</v>
      </c>
      <c r="T23" s="49">
        <f>'Impedance Values from Automated'!F10</f>
        <v>90</v>
      </c>
      <c r="U23" s="49">
        <f>'Impedance Values from Automated'!G10</f>
        <v>383</v>
      </c>
      <c r="V23" s="76">
        <v>16</v>
      </c>
      <c r="W23" s="47">
        <v>20</v>
      </c>
      <c r="X23" s="3"/>
      <c r="Y23" s="76">
        <v>52</v>
      </c>
      <c r="Z23" s="49">
        <f>'Impedance Values from Automated'!I10</f>
        <v>132</v>
      </c>
      <c r="AA23" s="49">
        <f>'Impedance Values from Automated'!J10</f>
        <v>294</v>
      </c>
      <c r="AB23" s="76">
        <v>33</v>
      </c>
      <c r="AC23" s="2"/>
      <c r="AD23" s="76">
        <v>69</v>
      </c>
      <c r="AE23" s="49">
        <f>'Impedance Values from Automated'!L10</f>
        <v>94</v>
      </c>
      <c r="AF23" s="49">
        <f>'Impedance Values from Automated'!M10</f>
        <v>350</v>
      </c>
      <c r="AG23" s="76">
        <v>70</v>
      </c>
      <c r="AH23" s="3"/>
      <c r="AI23" s="76"/>
      <c r="AJ23" s="49">
        <f>'Impedance Values from Automated'!O10</f>
        <v>115</v>
      </c>
      <c r="AK23" s="49">
        <f>'Impedance Values from Automated'!P10</f>
        <v>116</v>
      </c>
      <c r="AL23" s="76"/>
      <c r="AN23" s="59"/>
      <c r="AO23" s="55">
        <f t="shared" si="1"/>
        <v>0</v>
      </c>
      <c r="AP23" s="77"/>
      <c r="AQ23" s="77"/>
      <c r="AR23" s="79">
        <v>89</v>
      </c>
      <c r="AS23" s="79">
        <v>80</v>
      </c>
      <c r="AT23" s="79">
        <v>70</v>
      </c>
      <c r="AU23" s="79">
        <v>60</v>
      </c>
      <c r="AV23" s="79">
        <v>50</v>
      </c>
      <c r="AW23" s="79">
        <v>40</v>
      </c>
      <c r="AX23" s="79">
        <v>30</v>
      </c>
      <c r="AY23" s="79">
        <v>20</v>
      </c>
      <c r="AZ23" s="79">
        <v>10</v>
      </c>
      <c r="BA23" s="79">
        <v>1</v>
      </c>
      <c r="BB23" s="80"/>
      <c r="BC23" s="78"/>
      <c r="BD23" s="51"/>
      <c r="BE23" s="51"/>
      <c r="BF23" s="51"/>
      <c r="BG23" s="55">
        <f t="shared" si="2"/>
        <v>13</v>
      </c>
      <c r="BH23" s="55" t="str">
        <f>IF(COUNTA(BB11:BB43)&gt;0,ROW()-10,"")</f>
        <v/>
      </c>
      <c r="BI23" s="59"/>
      <c r="BJ23" s="59"/>
      <c r="BK23" s="59"/>
      <c r="BL23" s="59"/>
      <c r="BM23" s="59"/>
      <c r="BN23" s="59"/>
      <c r="BO23" s="59"/>
      <c r="BP23" s="59"/>
      <c r="BQ23" s="59"/>
      <c r="BR23" s="59"/>
      <c r="BS23" s="59"/>
      <c r="BT23" s="59"/>
      <c r="BU23" s="59"/>
      <c r="BV23" s="59"/>
      <c r="BW23" s="59"/>
    </row>
    <row r="24" spans="1:75" ht="15" customHeight="1" x14ac:dyDescent="0.25">
      <c r="A24" s="60"/>
      <c r="B24" s="60"/>
      <c r="C24" s="60"/>
      <c r="D24" s="60"/>
      <c r="E24" s="60"/>
      <c r="F24" s="59"/>
      <c r="G24" s="60"/>
      <c r="H24" s="59"/>
      <c r="I24" s="60"/>
      <c r="J24" s="60"/>
      <c r="K24" s="60"/>
      <c r="L24" s="60"/>
      <c r="M24" s="60"/>
      <c r="N24" s="60"/>
      <c r="O24" s="60"/>
      <c r="P24" s="60"/>
      <c r="Q24" s="59"/>
      <c r="R24" s="47">
        <v>21</v>
      </c>
      <c r="S24" s="76">
        <v>24</v>
      </c>
      <c r="T24" s="49">
        <f>'Impedance Values from Automated'!F11</f>
        <v>69</v>
      </c>
      <c r="U24" s="49">
        <f>'Impedance Values from Automated'!G11</f>
        <v>112</v>
      </c>
      <c r="V24" s="76">
        <v>7</v>
      </c>
      <c r="W24" s="47">
        <v>22</v>
      </c>
      <c r="X24" s="3"/>
      <c r="Y24" s="76">
        <v>51</v>
      </c>
      <c r="Z24" s="49">
        <f>'Impedance Values from Automated'!I11</f>
        <v>160</v>
      </c>
      <c r="AA24" s="49">
        <f>'Impedance Values from Automated'!J11</f>
        <v>106</v>
      </c>
      <c r="AB24" s="76">
        <v>34</v>
      </c>
      <c r="AC24" s="2"/>
      <c r="AD24" s="76">
        <v>59</v>
      </c>
      <c r="AE24" s="49">
        <f>'Impedance Values from Automated'!L11</f>
        <v>104</v>
      </c>
      <c r="AF24" s="49">
        <f>'Impedance Values from Automated'!M11</f>
        <v>86</v>
      </c>
      <c r="AG24" s="76">
        <v>60</v>
      </c>
      <c r="AH24" s="3"/>
      <c r="AI24" s="76"/>
      <c r="AJ24" s="49">
        <f>'Impedance Values from Automated'!O11</f>
        <v>117</v>
      </c>
      <c r="AK24" s="49">
        <f>'Impedance Values from Automated'!P11</f>
        <v>118</v>
      </c>
      <c r="AL24" s="76"/>
      <c r="AN24" s="59"/>
      <c r="AO24" s="55">
        <f t="shared" si="1"/>
        <v>0</v>
      </c>
      <c r="AP24" s="78"/>
      <c r="AQ24" s="78"/>
      <c r="AR24" s="166"/>
      <c r="AS24" s="79">
        <v>79</v>
      </c>
      <c r="AT24" s="79">
        <v>69</v>
      </c>
      <c r="AU24" s="79">
        <v>59</v>
      </c>
      <c r="AV24" s="79">
        <v>49</v>
      </c>
      <c r="AW24" s="79">
        <v>39</v>
      </c>
      <c r="AX24" s="79">
        <v>29</v>
      </c>
      <c r="AY24" s="79">
        <v>19</v>
      </c>
      <c r="AZ24" s="79">
        <v>9</v>
      </c>
      <c r="BA24" s="166"/>
      <c r="BB24" s="80"/>
      <c r="BC24" s="78"/>
      <c r="BD24" s="51"/>
      <c r="BE24" s="51"/>
      <c r="BF24" s="51"/>
      <c r="BG24" s="55">
        <f t="shared" si="2"/>
        <v>14</v>
      </c>
      <c r="BH24" s="55">
        <f>IF(COUNTA(BC11:BC43)&gt;0,ROW()-10,"")</f>
        <v>14</v>
      </c>
      <c r="BI24" s="59"/>
      <c r="BJ24" s="59"/>
      <c r="BK24" s="59"/>
      <c r="BL24" s="59"/>
      <c r="BM24" s="59"/>
      <c r="BN24" s="59"/>
      <c r="BO24" s="59"/>
      <c r="BP24" s="59"/>
      <c r="BQ24" s="59"/>
      <c r="BR24" s="59"/>
      <c r="BS24" s="59"/>
      <c r="BT24" s="59"/>
      <c r="BU24" s="59"/>
      <c r="BV24" s="59"/>
      <c r="BW24" s="59"/>
    </row>
    <row r="25" spans="1:75" ht="15" customHeight="1" x14ac:dyDescent="0.25">
      <c r="A25" s="59"/>
      <c r="B25" s="59"/>
      <c r="C25" s="59"/>
      <c r="D25" s="59"/>
      <c r="E25" s="59"/>
      <c r="F25" s="59"/>
      <c r="G25" s="59"/>
      <c r="H25" s="59"/>
      <c r="I25" s="59"/>
      <c r="J25" s="59"/>
      <c r="K25" s="59"/>
      <c r="L25" s="59"/>
      <c r="M25" s="59"/>
      <c r="N25" s="59"/>
      <c r="O25" s="59"/>
      <c r="P25" s="59"/>
      <c r="Q25" s="59"/>
      <c r="R25" s="47">
        <v>23</v>
      </c>
      <c r="S25" s="76">
        <v>26</v>
      </c>
      <c r="T25" s="49">
        <f>'Impedance Values from Automated'!F12</f>
        <v>131</v>
      </c>
      <c r="U25" s="49">
        <f>'Impedance Values from Automated'!G12</f>
        <v>101</v>
      </c>
      <c r="V25" s="76">
        <v>6</v>
      </c>
      <c r="W25" s="47">
        <v>24</v>
      </c>
      <c r="X25" s="3"/>
      <c r="Y25" s="76">
        <v>41</v>
      </c>
      <c r="Z25" s="49">
        <f>'Impedance Values from Automated'!I12</f>
        <v>118</v>
      </c>
      <c r="AA25" s="49">
        <f>'Impedance Values from Automated'!J12</f>
        <v>83</v>
      </c>
      <c r="AB25" s="76">
        <v>42</v>
      </c>
      <c r="AC25" s="2"/>
      <c r="AD25" s="76">
        <v>50</v>
      </c>
      <c r="AE25" s="49">
        <f>'Impedance Values from Automated'!L12</f>
        <v>134</v>
      </c>
      <c r="AF25" s="49">
        <f>'Impedance Values from Automated'!M12</f>
        <v>126</v>
      </c>
      <c r="AG25" s="76">
        <v>49</v>
      </c>
      <c r="AH25" s="3"/>
      <c r="AI25" s="76"/>
      <c r="AJ25" s="49">
        <f>'Impedance Values from Automated'!O12</f>
        <v>119</v>
      </c>
      <c r="AK25" s="49">
        <f>'Impedance Values from Automated'!P12</f>
        <v>155</v>
      </c>
      <c r="AL25" s="76"/>
      <c r="AN25" s="59"/>
      <c r="AO25" s="55">
        <f t="shared" si="1"/>
        <v>0</v>
      </c>
      <c r="AP25" s="78"/>
      <c r="AQ25" s="78"/>
      <c r="AR25" s="78"/>
      <c r="AS25" s="78"/>
      <c r="AT25" s="78"/>
      <c r="AU25" s="78"/>
      <c r="AV25" s="78"/>
      <c r="AW25" s="78"/>
      <c r="AX25" s="78"/>
      <c r="AY25" s="78"/>
      <c r="AZ25" s="78"/>
      <c r="BA25" s="78"/>
      <c r="BB25" s="78"/>
      <c r="BC25" s="78"/>
      <c r="BD25" s="51"/>
      <c r="BE25" s="51"/>
      <c r="BF25" s="51"/>
      <c r="BG25" s="55" t="str">
        <f t="shared" si="2"/>
        <v/>
      </c>
      <c r="BH25" s="55" t="str">
        <f>IF(COUNTA(BD11:BD43)&gt;0,ROW()-10,"")</f>
        <v/>
      </c>
      <c r="BI25" s="59"/>
      <c r="BJ25" s="59"/>
      <c r="BK25" s="59"/>
      <c r="BL25" s="59"/>
      <c r="BM25" s="59"/>
      <c r="BN25" s="59"/>
      <c r="BO25" s="59"/>
      <c r="BP25" s="59"/>
      <c r="BQ25" s="59"/>
      <c r="BR25" s="59"/>
      <c r="BS25" s="59"/>
      <c r="BT25" s="59"/>
      <c r="BU25" s="59"/>
      <c r="BV25" s="59"/>
      <c r="BW25" s="59"/>
    </row>
    <row r="26" spans="1:75" ht="15" customHeight="1" x14ac:dyDescent="0.25">
      <c r="A26" s="59"/>
      <c r="B26" s="59"/>
      <c r="C26" s="61"/>
      <c r="D26" s="61"/>
      <c r="E26" s="61"/>
      <c r="F26" s="61"/>
      <c r="G26" s="61"/>
      <c r="H26" s="61"/>
      <c r="I26" s="61"/>
      <c r="J26" s="61"/>
      <c r="K26" s="61"/>
      <c r="L26" s="61"/>
      <c r="M26" s="61"/>
      <c r="N26" s="61"/>
      <c r="O26" s="61"/>
      <c r="P26" s="59"/>
      <c r="Q26" s="59"/>
      <c r="R26" s="47">
        <v>25</v>
      </c>
      <c r="S26" s="76">
        <v>25</v>
      </c>
      <c r="T26" s="49">
        <f>'Impedance Values from Automated'!F13</f>
        <v>110</v>
      </c>
      <c r="U26" s="49">
        <f>'Impedance Values from Automated'!G13</f>
        <v>112</v>
      </c>
      <c r="V26" s="76">
        <v>5</v>
      </c>
      <c r="W26" s="47">
        <v>26</v>
      </c>
      <c r="X26" s="3"/>
      <c r="Y26" s="76">
        <v>31</v>
      </c>
      <c r="Z26" s="49">
        <f>'Impedance Values from Automated'!I13</f>
        <v>120</v>
      </c>
      <c r="AA26" s="49">
        <f>'Impedance Values from Automated'!J13</f>
        <v>101</v>
      </c>
      <c r="AB26" s="76">
        <v>32</v>
      </c>
      <c r="AC26" s="2"/>
      <c r="AD26" s="76">
        <v>40</v>
      </c>
      <c r="AE26" s="49">
        <f>'Impedance Values from Automated'!L13</f>
        <v>128</v>
      </c>
      <c r="AF26" s="49">
        <f>'Impedance Values from Automated'!M13</f>
        <v>191</v>
      </c>
      <c r="AG26" s="76">
        <v>39</v>
      </c>
      <c r="AH26" s="3"/>
      <c r="AI26" s="76"/>
      <c r="AJ26" s="49">
        <f>'Impedance Values from Automated'!O13</f>
        <v>121</v>
      </c>
      <c r="AK26" s="49">
        <f>'Impedance Values from Automated'!P13</f>
        <v>122</v>
      </c>
      <c r="AL26" s="76"/>
      <c r="AN26" s="59"/>
      <c r="AO26" s="55">
        <f t="shared" si="1"/>
        <v>0</v>
      </c>
      <c r="AP26" s="78"/>
      <c r="AQ26" s="78"/>
      <c r="AR26" s="80"/>
      <c r="AS26" s="80"/>
      <c r="AT26" s="80"/>
      <c r="AU26" s="80"/>
      <c r="AV26" s="80"/>
      <c r="AW26" s="80"/>
      <c r="AX26" s="78"/>
      <c r="AY26" s="78"/>
      <c r="AZ26" s="78"/>
      <c r="BA26" s="78"/>
      <c r="BB26" s="78"/>
      <c r="BC26" s="78"/>
      <c r="BD26" s="51"/>
      <c r="BE26" s="51"/>
      <c r="BF26" s="51"/>
      <c r="BG26" s="55" t="str">
        <f t="shared" si="2"/>
        <v/>
      </c>
      <c r="BH26" s="55" t="str">
        <f>IF(COUNTA(BE11:BE43)&gt;0,ROW()-10,"")</f>
        <v/>
      </c>
      <c r="BI26" s="59"/>
      <c r="BJ26" s="59"/>
      <c r="BK26" s="59"/>
      <c r="BL26" s="59"/>
      <c r="BM26" s="59"/>
      <c r="BN26" s="59"/>
      <c r="BO26" s="59"/>
      <c r="BP26" s="59"/>
      <c r="BQ26" s="59"/>
      <c r="BR26" s="59"/>
      <c r="BS26" s="59"/>
      <c r="BT26" s="59"/>
      <c r="BU26" s="59"/>
      <c r="BV26" s="59"/>
      <c r="BW26" s="59"/>
    </row>
    <row r="27" spans="1:75" ht="15" customHeight="1" x14ac:dyDescent="0.25">
      <c r="A27" s="59"/>
      <c r="B27" s="59"/>
      <c r="C27" s="61"/>
      <c r="D27" s="166"/>
      <c r="E27" s="62">
        <f>U14</f>
        <v>138</v>
      </c>
      <c r="F27" s="62">
        <f>T14</f>
        <v>158</v>
      </c>
      <c r="G27" s="62">
        <f>T15</f>
        <v>149</v>
      </c>
      <c r="H27" s="62">
        <f>U15</f>
        <v>137</v>
      </c>
      <c r="I27" s="62">
        <f>U16</f>
        <v>116</v>
      </c>
      <c r="J27" s="62">
        <f>U17</f>
        <v>119</v>
      </c>
      <c r="K27" s="62">
        <f>U18</f>
        <v>113</v>
      </c>
      <c r="L27" s="62">
        <f>U20</f>
        <v>139</v>
      </c>
      <c r="M27" s="166"/>
      <c r="N27" s="61"/>
      <c r="O27" s="61"/>
      <c r="P27" s="59"/>
      <c r="Q27" s="59"/>
      <c r="R27" s="47">
        <v>27</v>
      </c>
      <c r="S27" s="76">
        <v>15</v>
      </c>
      <c r="T27" s="49">
        <f>'Impedance Values from Automated'!F14</f>
        <v>94</v>
      </c>
      <c r="U27" s="49">
        <f>'Impedance Values from Automated'!G14</f>
        <v>100</v>
      </c>
      <c r="V27" s="76">
        <v>4</v>
      </c>
      <c r="W27" s="47">
        <v>28</v>
      </c>
      <c r="X27" s="3"/>
      <c r="Y27" s="76">
        <v>21</v>
      </c>
      <c r="Z27" s="49">
        <f>'Impedance Values from Automated'!I14</f>
        <v>146</v>
      </c>
      <c r="AA27" s="49">
        <f>'Impedance Values from Automated'!J14</f>
        <v>95</v>
      </c>
      <c r="AB27" s="76">
        <v>22</v>
      </c>
      <c r="AC27" s="2"/>
      <c r="AD27" s="76">
        <v>30</v>
      </c>
      <c r="AE27" s="49">
        <f>'Impedance Values from Automated'!L14</f>
        <v>82</v>
      </c>
      <c r="AF27" s="49">
        <f>'Impedance Values from Automated'!M14</f>
        <v>177</v>
      </c>
      <c r="AG27" s="76">
        <v>29</v>
      </c>
      <c r="AH27" s="3"/>
      <c r="AI27" s="76"/>
      <c r="AJ27" s="49">
        <f>'Impedance Values from Automated'!O14</f>
        <v>123</v>
      </c>
      <c r="AK27" s="49">
        <f>'Impedance Values from Automated'!P14</f>
        <v>124</v>
      </c>
      <c r="AL27" s="76"/>
      <c r="AN27" s="59"/>
      <c r="AO27" s="55">
        <f t="shared" si="1"/>
        <v>0</v>
      </c>
      <c r="AP27" s="78"/>
      <c r="AQ27" s="78"/>
      <c r="AR27" s="80"/>
      <c r="AS27" s="80"/>
      <c r="AT27" s="80"/>
      <c r="AU27" s="80"/>
      <c r="AV27" s="80"/>
      <c r="AW27" s="80"/>
      <c r="AX27" s="78"/>
      <c r="AY27" s="78"/>
      <c r="AZ27" s="78"/>
      <c r="BA27" s="78"/>
      <c r="BB27" s="78"/>
      <c r="BC27" s="78"/>
      <c r="BD27" s="51"/>
      <c r="BE27" s="51"/>
      <c r="BF27" s="51"/>
      <c r="BG27" s="55" t="str">
        <f t="shared" si="2"/>
        <v/>
      </c>
      <c r="BH27" s="55" t="str">
        <f>IF(COUNTA(BF11:BF43)&gt;0,ROW()-10,"")</f>
        <v/>
      </c>
      <c r="BI27" s="59"/>
      <c r="BJ27" s="59"/>
      <c r="BK27" s="59"/>
      <c r="BL27" s="59"/>
      <c r="BM27" s="59"/>
      <c r="BN27" s="59"/>
      <c r="BO27" s="59"/>
      <c r="BP27" s="59"/>
      <c r="BQ27" s="59"/>
      <c r="BR27" s="59"/>
      <c r="BS27" s="59"/>
      <c r="BT27" s="59"/>
      <c r="BU27" s="59"/>
      <c r="BV27" s="59"/>
      <c r="BW27" s="59"/>
    </row>
    <row r="28" spans="1:75" ht="15" customHeight="1" x14ac:dyDescent="0.25">
      <c r="A28" s="59"/>
      <c r="B28" s="59"/>
      <c r="C28" s="61"/>
      <c r="D28" s="62">
        <f t="shared" ref="D28:D35" si="3">AE14</f>
        <v>104</v>
      </c>
      <c r="E28" s="62">
        <f t="shared" ref="E28:E35" si="4">AF14</f>
        <v>140</v>
      </c>
      <c r="F28" s="62">
        <f t="shared" ref="F28:G31" si="5">Z14</f>
        <v>129</v>
      </c>
      <c r="G28" s="62">
        <f t="shared" si="5"/>
        <v>101</v>
      </c>
      <c r="H28" s="62">
        <f>T17</f>
        <v>111</v>
      </c>
      <c r="I28" s="62">
        <f>T18</f>
        <v>106</v>
      </c>
      <c r="J28" s="62">
        <f>T19</f>
        <v>90</v>
      </c>
      <c r="K28" s="62">
        <f>U19</f>
        <v>103</v>
      </c>
      <c r="L28" s="62">
        <f>U21</f>
        <v>89</v>
      </c>
      <c r="M28" s="62">
        <f>U22</f>
        <v>127</v>
      </c>
      <c r="N28" s="61"/>
      <c r="O28" s="61"/>
      <c r="P28" s="59"/>
      <c r="Q28" s="59"/>
      <c r="R28" s="47">
        <v>29</v>
      </c>
      <c r="S28" s="76">
        <v>14</v>
      </c>
      <c r="T28" s="49">
        <f>'Impedance Values from Automated'!F15</f>
        <v>106</v>
      </c>
      <c r="U28" s="49">
        <f>'Impedance Values from Automated'!G15</f>
        <v>93</v>
      </c>
      <c r="V28" s="76">
        <v>3</v>
      </c>
      <c r="W28" s="47">
        <v>30</v>
      </c>
      <c r="X28" s="3"/>
      <c r="Y28" s="76">
        <v>11</v>
      </c>
      <c r="Z28" s="49">
        <f>'Impedance Values from Automated'!I15</f>
        <v>122</v>
      </c>
      <c r="AA28" s="49">
        <f>'Impedance Values from Automated'!J15</f>
        <v>86</v>
      </c>
      <c r="AB28" s="76">
        <v>23</v>
      </c>
      <c r="AC28" s="2"/>
      <c r="AD28" s="76">
        <v>19</v>
      </c>
      <c r="AE28" s="49">
        <f>'Impedance Values from Automated'!L15</f>
        <v>103</v>
      </c>
      <c r="AF28" s="49">
        <f>'Impedance Values from Automated'!M15</f>
        <v>99</v>
      </c>
      <c r="AG28" s="76">
        <v>20</v>
      </c>
      <c r="AH28" s="3"/>
      <c r="AI28" s="76"/>
      <c r="AJ28" s="49">
        <f>'Impedance Values from Automated'!O15</f>
        <v>125</v>
      </c>
      <c r="AK28" s="49">
        <f>'Impedance Values from Automated'!P15</f>
        <v>126</v>
      </c>
      <c r="AL28" s="76"/>
      <c r="AN28" s="59"/>
      <c r="AO28" s="55">
        <f t="shared" si="1"/>
        <v>0</v>
      </c>
      <c r="AP28" s="78"/>
      <c r="AQ28" s="78"/>
      <c r="AR28" s="80"/>
      <c r="AS28" s="80"/>
      <c r="AT28" s="80"/>
      <c r="AU28" s="80"/>
      <c r="AV28" s="80"/>
      <c r="AW28" s="80"/>
      <c r="AX28" s="78"/>
      <c r="AY28" s="78"/>
      <c r="AZ28" s="78"/>
      <c r="BA28" s="78"/>
      <c r="BB28" s="78"/>
      <c r="BC28" s="78"/>
      <c r="BD28" s="51"/>
      <c r="BE28" s="51"/>
      <c r="BF28" s="51"/>
      <c r="BG28" s="55" t="str">
        <f t="shared" si="2"/>
        <v/>
      </c>
      <c r="BI28" s="59"/>
      <c r="BJ28" s="59"/>
      <c r="BK28" s="59"/>
      <c r="BL28" s="59"/>
      <c r="BM28" s="59"/>
      <c r="BN28" s="59"/>
      <c r="BO28" s="59"/>
      <c r="BP28" s="59"/>
      <c r="BQ28" s="59"/>
      <c r="BR28" s="59"/>
      <c r="BS28" s="59"/>
      <c r="BT28" s="59"/>
      <c r="BU28" s="59"/>
      <c r="BV28" s="59"/>
      <c r="BW28" s="59"/>
    </row>
    <row r="29" spans="1:75" ht="15" customHeight="1" x14ac:dyDescent="0.25">
      <c r="A29" s="59"/>
      <c r="B29" s="59"/>
      <c r="C29" s="61"/>
      <c r="D29" s="62">
        <f t="shared" si="3"/>
        <v>127</v>
      </c>
      <c r="E29" s="62">
        <f t="shared" si="4"/>
        <v>190</v>
      </c>
      <c r="F29" s="62">
        <f t="shared" si="5"/>
        <v>235</v>
      </c>
      <c r="G29" s="62">
        <f t="shared" si="5"/>
        <v>146</v>
      </c>
      <c r="H29" s="62">
        <f>T16</f>
        <v>125</v>
      </c>
      <c r="I29" s="62">
        <f>T22</f>
        <v>500</v>
      </c>
      <c r="J29" s="62">
        <f>T20</f>
        <v>114</v>
      </c>
      <c r="K29" s="62">
        <f>T25</f>
        <v>131</v>
      </c>
      <c r="L29" s="62">
        <f>U23</f>
        <v>383</v>
      </c>
      <c r="M29" s="62">
        <f t="shared" ref="M29:M34" si="6">U24</f>
        <v>112</v>
      </c>
      <c r="N29" s="61"/>
      <c r="O29" s="61"/>
      <c r="P29" s="59"/>
      <c r="Q29" s="59"/>
      <c r="R29" s="47">
        <v>31</v>
      </c>
      <c r="S29" s="76">
        <v>13</v>
      </c>
      <c r="T29" s="49">
        <f>'Impedance Values from Automated'!F16</f>
        <v>90</v>
      </c>
      <c r="U29" s="49">
        <f>'Impedance Values from Automated'!G16</f>
        <v>325</v>
      </c>
      <c r="V29" s="76">
        <v>2</v>
      </c>
      <c r="W29" s="47">
        <v>32</v>
      </c>
      <c r="X29" s="3"/>
      <c r="Y29" s="76">
        <v>10</v>
      </c>
      <c r="Z29" s="49">
        <f>'Impedance Values from Automated'!I16</f>
        <v>59</v>
      </c>
      <c r="AA29" s="49">
        <f>'Impedance Values from Automated'!J16</f>
        <v>290</v>
      </c>
      <c r="AB29" s="76">
        <v>12</v>
      </c>
      <c r="AC29" s="2"/>
      <c r="AD29" s="76">
        <v>1</v>
      </c>
      <c r="AE29" s="49">
        <f>'Impedance Values from Automated'!L16</f>
        <v>69</v>
      </c>
      <c r="AF29" s="49">
        <f>'Impedance Values from Automated'!M16</f>
        <v>512</v>
      </c>
      <c r="AG29" s="76">
        <v>9</v>
      </c>
      <c r="AI29" s="76"/>
      <c r="AJ29" s="49">
        <f>'Impedance Values from Automated'!O16</f>
        <v>127</v>
      </c>
      <c r="AK29" s="49">
        <f>'Impedance Values from Automated'!P16</f>
        <v>128</v>
      </c>
      <c r="AL29" s="76"/>
      <c r="AN29" s="59"/>
      <c r="AO29" s="55">
        <f t="shared" si="1"/>
        <v>0</v>
      </c>
      <c r="AP29" s="78"/>
      <c r="AQ29" s="78"/>
      <c r="AR29" s="80"/>
      <c r="AS29" s="80"/>
      <c r="AT29" s="80"/>
      <c r="AU29" s="80"/>
      <c r="AV29" s="80"/>
      <c r="AW29" s="80"/>
      <c r="AX29" s="78"/>
      <c r="AY29" s="78"/>
      <c r="AZ29" s="78"/>
      <c r="BA29" s="78"/>
      <c r="BB29" s="78"/>
      <c r="BC29" s="78"/>
      <c r="BD29" s="51"/>
      <c r="BE29" s="51"/>
      <c r="BF29" s="51"/>
      <c r="BG29" s="55" t="str">
        <f t="shared" si="2"/>
        <v/>
      </c>
      <c r="BI29" s="59"/>
      <c r="BJ29" s="59"/>
      <c r="BK29" s="59"/>
      <c r="BL29" s="59"/>
      <c r="BM29" s="59"/>
      <c r="BN29" s="59"/>
      <c r="BO29" s="59"/>
      <c r="BP29" s="59"/>
      <c r="BQ29" s="59"/>
      <c r="BR29" s="59"/>
      <c r="BS29" s="59"/>
      <c r="BT29" s="59"/>
      <c r="BU29" s="59"/>
      <c r="BV29" s="59"/>
      <c r="BW29" s="59"/>
    </row>
    <row r="30" spans="1:75" ht="15" customHeight="1" x14ac:dyDescent="0.25">
      <c r="A30" s="59"/>
      <c r="B30" s="59"/>
      <c r="C30" s="61"/>
      <c r="D30" s="62">
        <f t="shared" si="3"/>
        <v>132</v>
      </c>
      <c r="E30" s="62">
        <f t="shared" si="4"/>
        <v>153</v>
      </c>
      <c r="F30" s="62">
        <f t="shared" si="5"/>
        <v>132</v>
      </c>
      <c r="G30" s="62">
        <f t="shared" si="5"/>
        <v>97</v>
      </c>
      <c r="H30" s="62">
        <f>AA21</f>
        <v>107</v>
      </c>
      <c r="I30" s="62">
        <f>T21</f>
        <v>82</v>
      </c>
      <c r="J30" s="62">
        <f>T23</f>
        <v>90</v>
      </c>
      <c r="K30" s="62">
        <f>T26</f>
        <v>110</v>
      </c>
      <c r="L30" s="62">
        <f>T27</f>
        <v>94</v>
      </c>
      <c r="M30" s="62">
        <f t="shared" si="6"/>
        <v>101</v>
      </c>
      <c r="N30" s="61"/>
      <c r="O30" s="61"/>
      <c r="P30" s="59"/>
      <c r="Q30" s="59"/>
      <c r="R30" s="48">
        <v>33</v>
      </c>
      <c r="S30" s="21"/>
      <c r="T30" s="22" t="s">
        <v>1</v>
      </c>
      <c r="U30" s="22" t="s">
        <v>0</v>
      </c>
      <c r="V30" s="22"/>
      <c r="W30" s="48">
        <v>34</v>
      </c>
      <c r="X30" s="3"/>
      <c r="Y30" s="21"/>
      <c r="Z30" s="22" t="s">
        <v>0</v>
      </c>
      <c r="AA30" s="22" t="s">
        <v>0</v>
      </c>
      <c r="AB30" s="22"/>
      <c r="AC30" s="2"/>
      <c r="AD30" s="21"/>
      <c r="AE30" s="22" t="s">
        <v>2</v>
      </c>
      <c r="AF30" s="22" t="s">
        <v>0</v>
      </c>
      <c r="AG30" s="22"/>
      <c r="AI30" s="21"/>
      <c r="AJ30" s="22" t="s">
        <v>0</v>
      </c>
      <c r="AK30" s="22" t="s">
        <v>0</v>
      </c>
      <c r="AL30" s="22"/>
      <c r="AN30" s="59"/>
      <c r="AO30" s="55">
        <f t="shared" si="1"/>
        <v>0</v>
      </c>
      <c r="AP30" s="78"/>
      <c r="AQ30" s="78"/>
      <c r="AR30" s="80"/>
      <c r="AS30" s="80"/>
      <c r="AT30" s="80"/>
      <c r="AU30" s="80"/>
      <c r="AV30" s="80"/>
      <c r="AW30" s="80"/>
      <c r="AX30" s="78"/>
      <c r="AY30" s="78"/>
      <c r="AZ30" s="78"/>
      <c r="BA30" s="78"/>
      <c r="BB30" s="78"/>
      <c r="BC30" s="78"/>
      <c r="BD30" s="51"/>
      <c r="BE30" s="51"/>
      <c r="BF30" s="51"/>
      <c r="BG30" s="55" t="str">
        <f t="shared" si="2"/>
        <v/>
      </c>
      <c r="BI30" s="59"/>
      <c r="BJ30" s="59"/>
      <c r="BK30" s="59"/>
      <c r="BL30" s="59"/>
      <c r="BM30" s="59"/>
      <c r="BN30" s="59"/>
      <c r="BO30" s="59"/>
      <c r="BP30" s="59"/>
      <c r="BQ30" s="59"/>
      <c r="BR30" s="59"/>
      <c r="BS30" s="59"/>
      <c r="BT30" s="59"/>
      <c r="BU30" s="59"/>
      <c r="BV30" s="59"/>
      <c r="BW30" s="59"/>
    </row>
    <row r="31" spans="1:75" ht="15" customHeight="1" x14ac:dyDescent="0.25">
      <c r="A31" s="59"/>
      <c r="B31" s="59"/>
      <c r="C31" s="61"/>
      <c r="D31" s="62">
        <f t="shared" si="3"/>
        <v>118</v>
      </c>
      <c r="E31" s="62">
        <f t="shared" si="4"/>
        <v>156</v>
      </c>
      <c r="F31" s="62">
        <f t="shared" si="5"/>
        <v>139</v>
      </c>
      <c r="G31" s="62">
        <f t="shared" si="5"/>
        <v>117</v>
      </c>
      <c r="H31" s="62">
        <f>AA18</f>
        <v>111</v>
      </c>
      <c r="I31" s="62">
        <f>AA22</f>
        <v>80</v>
      </c>
      <c r="J31" s="62">
        <f>AA24</f>
        <v>106</v>
      </c>
      <c r="K31" s="62">
        <f>T24</f>
        <v>69</v>
      </c>
      <c r="L31" s="62">
        <f>T28</f>
        <v>106</v>
      </c>
      <c r="M31" s="62">
        <f t="shared" si="6"/>
        <v>112</v>
      </c>
      <c r="N31" s="61" t="s">
        <v>51</v>
      </c>
      <c r="O31" s="61"/>
      <c r="P31" s="59"/>
      <c r="Q31" s="59"/>
      <c r="R31" s="48">
        <v>35</v>
      </c>
      <c r="S31" s="21"/>
      <c r="T31" s="22" t="s">
        <v>0</v>
      </c>
      <c r="U31" s="22" t="s">
        <v>3</v>
      </c>
      <c r="V31" s="22"/>
      <c r="W31" s="48">
        <v>36</v>
      </c>
      <c r="X31" s="3"/>
      <c r="Y31" s="21"/>
      <c r="Z31" s="22" t="s">
        <v>0</v>
      </c>
      <c r="AA31" s="22" t="s">
        <v>3</v>
      </c>
      <c r="AB31" s="22"/>
      <c r="AC31" s="2"/>
      <c r="AD31" s="21"/>
      <c r="AE31" s="22" t="s">
        <v>0</v>
      </c>
      <c r="AF31" s="22" t="s">
        <v>3</v>
      </c>
      <c r="AG31" s="22"/>
      <c r="AI31" s="21"/>
      <c r="AJ31" s="22" t="s">
        <v>0</v>
      </c>
      <c r="AK31" s="22" t="s">
        <v>3</v>
      </c>
      <c r="AL31" s="22"/>
      <c r="AN31" s="59"/>
      <c r="AO31" s="55">
        <f t="shared" si="1"/>
        <v>0</v>
      </c>
      <c r="AP31" s="78"/>
      <c r="AQ31" s="78"/>
      <c r="AR31" s="80"/>
      <c r="AS31" s="80"/>
      <c r="AT31" s="80"/>
      <c r="AU31" s="80"/>
      <c r="AV31" s="80"/>
      <c r="AW31" s="80"/>
      <c r="AX31" s="78"/>
      <c r="AY31" s="78"/>
      <c r="AZ31" s="78"/>
      <c r="BA31" s="78"/>
      <c r="BB31" s="78"/>
      <c r="BC31" s="78"/>
      <c r="BD31" s="51"/>
      <c r="BE31" s="51"/>
      <c r="BF31" s="51"/>
      <c r="BG31" s="55" t="str">
        <f t="shared" si="2"/>
        <v/>
      </c>
      <c r="BI31" s="59"/>
      <c r="BJ31" s="59"/>
      <c r="BK31" s="59"/>
      <c r="BL31" s="59"/>
      <c r="BM31" s="59"/>
      <c r="BN31" s="59"/>
      <c r="BO31" s="59"/>
      <c r="BP31" s="59"/>
      <c r="BQ31" s="59"/>
      <c r="BR31" s="59"/>
      <c r="BS31" s="59"/>
      <c r="BT31" s="59"/>
      <c r="BU31" s="59"/>
      <c r="BV31" s="59"/>
      <c r="BW31" s="59"/>
    </row>
    <row r="32" spans="1:75" ht="15" customHeight="1" x14ac:dyDescent="0.25">
      <c r="A32" s="59"/>
      <c r="B32" s="59"/>
      <c r="C32" s="61"/>
      <c r="D32" s="62">
        <f t="shared" si="3"/>
        <v>101</v>
      </c>
      <c r="E32" s="62">
        <f t="shared" si="4"/>
        <v>183</v>
      </c>
      <c r="F32" s="62">
        <f>Z18</f>
        <v>110</v>
      </c>
      <c r="G32" s="62">
        <f>Z19</f>
        <v>82</v>
      </c>
      <c r="H32" s="62">
        <f>AA19</f>
        <v>100</v>
      </c>
      <c r="I32" s="62">
        <f>AA20</f>
        <v>89</v>
      </c>
      <c r="J32" s="62">
        <f>AA23</f>
        <v>294</v>
      </c>
      <c r="K32" s="62">
        <f>AA28</f>
        <v>86</v>
      </c>
      <c r="L32" s="62">
        <f>T29</f>
        <v>90</v>
      </c>
      <c r="M32" s="62">
        <f t="shared" si="6"/>
        <v>100</v>
      </c>
      <c r="N32" s="61"/>
      <c r="O32" s="61"/>
      <c r="P32" s="59"/>
      <c r="Q32" s="59"/>
      <c r="S32" s="14"/>
      <c r="V32" s="14"/>
      <c r="W32" s="45" t="s">
        <v>22</v>
      </c>
      <c r="Y32" s="14"/>
      <c r="AB32" s="14"/>
      <c r="AD32" s="14"/>
      <c r="AG32" s="14"/>
      <c r="AN32" s="83"/>
      <c r="AO32" s="55">
        <f t="shared" si="1"/>
        <v>0</v>
      </c>
      <c r="AP32" s="78"/>
      <c r="AQ32" s="78"/>
      <c r="AR32" s="80"/>
      <c r="AS32" s="80"/>
      <c r="AT32" s="80"/>
      <c r="AU32" s="80"/>
      <c r="AV32" s="78"/>
      <c r="AW32" s="78"/>
      <c r="AX32" s="78"/>
      <c r="AY32" s="78"/>
      <c r="AZ32" s="78"/>
      <c r="BA32" s="78"/>
      <c r="BB32" s="78"/>
      <c r="BC32" s="78"/>
      <c r="BD32" s="51"/>
      <c r="BE32" s="51"/>
      <c r="BF32" s="51"/>
      <c r="BG32" s="55" t="str">
        <f t="shared" si="2"/>
        <v/>
      </c>
      <c r="BI32" s="59"/>
      <c r="BJ32" s="59"/>
      <c r="BK32" s="59"/>
      <c r="BL32" s="59"/>
      <c r="BM32" s="59"/>
      <c r="BN32" s="59"/>
      <c r="BO32" s="59"/>
      <c r="BP32" s="59"/>
      <c r="BQ32" s="59"/>
      <c r="BR32" s="59"/>
      <c r="BS32" s="59"/>
      <c r="BT32" s="59"/>
      <c r="BU32" s="59"/>
      <c r="BV32" s="59"/>
      <c r="BW32" s="59"/>
    </row>
    <row r="33" spans="1:75" ht="15" customHeight="1" x14ac:dyDescent="0.25">
      <c r="A33" s="59"/>
      <c r="B33" s="59"/>
      <c r="C33" s="61"/>
      <c r="D33" s="62">
        <f t="shared" si="3"/>
        <v>106</v>
      </c>
      <c r="E33" s="62">
        <f t="shared" si="4"/>
        <v>140</v>
      </c>
      <c r="F33" s="62">
        <f>Z20</f>
        <v>134</v>
      </c>
      <c r="G33" s="62">
        <f>Z21</f>
        <v>147</v>
      </c>
      <c r="H33" s="62">
        <f>Z23</f>
        <v>132</v>
      </c>
      <c r="I33" s="62">
        <f>AA25</f>
        <v>83</v>
      </c>
      <c r="J33" s="62">
        <f>AA26</f>
        <v>101</v>
      </c>
      <c r="K33" s="62">
        <f>AA27</f>
        <v>95</v>
      </c>
      <c r="L33" s="62">
        <f>AA29</f>
        <v>290</v>
      </c>
      <c r="M33" s="62">
        <f t="shared" si="6"/>
        <v>93</v>
      </c>
      <c r="N33" s="61"/>
      <c r="O33" s="61"/>
      <c r="P33" s="59"/>
      <c r="Q33" s="59"/>
      <c r="R33" s="147" t="s">
        <v>20</v>
      </c>
      <c r="S33" s="161"/>
      <c r="T33" s="161"/>
      <c r="U33" s="161"/>
      <c r="V33" s="162"/>
      <c r="W33" s="147" t="s">
        <v>31</v>
      </c>
      <c r="X33" s="161"/>
      <c r="Y33" s="161"/>
      <c r="Z33" s="161"/>
      <c r="AA33" s="162"/>
      <c r="AB33" s="147" t="s">
        <v>55</v>
      </c>
      <c r="AC33" s="148"/>
      <c r="AD33" s="148"/>
      <c r="AE33" s="148"/>
      <c r="AF33" s="148"/>
      <c r="AG33" s="148"/>
      <c r="AH33" s="149"/>
      <c r="AI33" s="43"/>
      <c r="AJ33" s="43"/>
      <c r="AK33" s="43"/>
      <c r="AL33" s="43"/>
      <c r="AN33" s="59"/>
      <c r="AO33" s="55">
        <f t="shared" si="1"/>
        <v>0</v>
      </c>
      <c r="AP33" s="78"/>
      <c r="AQ33" s="78"/>
      <c r="AR33" s="80"/>
      <c r="AS33" s="80"/>
      <c r="AT33" s="80"/>
      <c r="AU33" s="80"/>
      <c r="AV33" s="78"/>
      <c r="AW33" s="78"/>
      <c r="AX33" s="78"/>
      <c r="AY33" s="78"/>
      <c r="AZ33" s="78"/>
      <c r="BA33" s="78"/>
      <c r="BB33" s="78"/>
      <c r="BC33" s="78"/>
      <c r="BD33" s="51"/>
      <c r="BE33" s="51"/>
      <c r="BF33" s="51"/>
      <c r="BG33" s="55" t="str">
        <f t="shared" si="2"/>
        <v/>
      </c>
      <c r="BI33" s="59"/>
      <c r="BJ33" s="59"/>
      <c r="BK33" s="59"/>
      <c r="BL33" s="59"/>
      <c r="BM33" s="59"/>
      <c r="BN33" s="59"/>
      <c r="BO33" s="59"/>
      <c r="BP33" s="59"/>
      <c r="BQ33" s="59"/>
      <c r="BR33" s="59"/>
      <c r="BS33" s="59"/>
      <c r="BT33" s="59"/>
      <c r="BU33" s="59"/>
      <c r="BV33" s="59"/>
      <c r="BW33" s="59"/>
    </row>
    <row r="34" spans="1:75" ht="15" customHeight="1" x14ac:dyDescent="0.25">
      <c r="A34" s="59"/>
      <c r="B34" s="59"/>
      <c r="C34" s="61"/>
      <c r="D34" s="62">
        <f t="shared" si="3"/>
        <v>133</v>
      </c>
      <c r="E34" s="62">
        <f t="shared" si="4"/>
        <v>130</v>
      </c>
      <c r="F34" s="62">
        <f>AF22</f>
        <v>245</v>
      </c>
      <c r="G34" s="62">
        <f>Z22</f>
        <v>756</v>
      </c>
      <c r="H34" s="62">
        <f>Z24</f>
        <v>160</v>
      </c>
      <c r="I34" s="62">
        <f>Z25</f>
        <v>118</v>
      </c>
      <c r="J34" s="62">
        <f>Z26</f>
        <v>120</v>
      </c>
      <c r="K34" s="62">
        <f>Z27</f>
        <v>146</v>
      </c>
      <c r="L34" s="62">
        <f>Z28</f>
        <v>122</v>
      </c>
      <c r="M34" s="62">
        <f t="shared" si="6"/>
        <v>325</v>
      </c>
      <c r="N34" s="59"/>
      <c r="O34" s="61"/>
      <c r="P34" s="59"/>
      <c r="Q34" s="59"/>
      <c r="R34" s="150" t="s">
        <v>13</v>
      </c>
      <c r="S34" s="151"/>
      <c r="T34" s="151"/>
      <c r="U34" s="151"/>
      <c r="V34" s="163"/>
      <c r="W34" s="150" t="s">
        <v>37</v>
      </c>
      <c r="X34" s="151"/>
      <c r="Y34" s="151"/>
      <c r="Z34" s="151"/>
      <c r="AA34" s="163"/>
      <c r="AB34" s="150" t="s">
        <v>50</v>
      </c>
      <c r="AC34" s="151"/>
      <c r="AD34" s="151"/>
      <c r="AE34" s="151"/>
      <c r="AF34" s="151"/>
      <c r="AG34" s="118"/>
      <c r="AH34" s="152"/>
      <c r="AK34" s="38"/>
      <c r="AL34" s="38"/>
      <c r="AN34" s="59"/>
      <c r="AO34" s="55">
        <f t="shared" si="1"/>
        <v>0</v>
      </c>
      <c r="AP34" s="78"/>
      <c r="AQ34" s="78"/>
      <c r="AR34" s="78"/>
      <c r="AS34" s="78"/>
      <c r="AT34" s="78"/>
      <c r="AU34" s="78"/>
      <c r="AV34" s="78"/>
      <c r="AW34" s="78"/>
      <c r="AX34" s="78"/>
      <c r="AY34" s="78"/>
      <c r="AZ34" s="78"/>
      <c r="BA34" s="78"/>
      <c r="BB34" s="78"/>
      <c r="BC34" s="78"/>
      <c r="BD34" s="51"/>
      <c r="BE34" s="51"/>
      <c r="BF34" s="51"/>
      <c r="BG34" s="55" t="str">
        <f t="shared" si="2"/>
        <v/>
      </c>
      <c r="BI34" s="59"/>
      <c r="BJ34" s="59"/>
      <c r="BK34" s="59"/>
      <c r="BL34" s="59"/>
      <c r="BM34" s="59"/>
      <c r="BN34" s="59"/>
      <c r="BO34" s="59"/>
      <c r="BP34" s="59"/>
      <c r="BQ34" s="59"/>
      <c r="BR34" s="59"/>
      <c r="BS34" s="59"/>
      <c r="BT34" s="59"/>
      <c r="BU34" s="59"/>
      <c r="BV34" s="59"/>
      <c r="BW34" s="59"/>
    </row>
    <row r="35" spans="1:75" ht="15" customHeight="1" x14ac:dyDescent="0.25">
      <c r="A35" s="59"/>
      <c r="B35" s="59"/>
      <c r="C35" s="61"/>
      <c r="D35" s="62">
        <f t="shared" si="3"/>
        <v>125</v>
      </c>
      <c r="E35" s="62">
        <f t="shared" si="4"/>
        <v>124</v>
      </c>
      <c r="F35" s="62">
        <f>AF23</f>
        <v>350</v>
      </c>
      <c r="G35" s="62">
        <f>AF24</f>
        <v>86</v>
      </c>
      <c r="H35" s="62">
        <f>AE25</f>
        <v>134</v>
      </c>
      <c r="I35" s="62">
        <f>AE26</f>
        <v>128</v>
      </c>
      <c r="J35" s="62">
        <f>AE27</f>
        <v>82</v>
      </c>
      <c r="K35" s="62">
        <f>AF28</f>
        <v>99</v>
      </c>
      <c r="L35" s="62">
        <f>Z29</f>
        <v>59</v>
      </c>
      <c r="M35" s="62">
        <f>AE29</f>
        <v>69</v>
      </c>
      <c r="N35" s="61"/>
      <c r="O35" s="61"/>
      <c r="P35" s="59"/>
      <c r="Q35" s="59"/>
      <c r="R35" s="153"/>
      <c r="S35" s="154"/>
      <c r="T35" s="154"/>
      <c r="U35" s="154"/>
      <c r="V35" s="164"/>
      <c r="W35" s="153"/>
      <c r="X35" s="154"/>
      <c r="Y35" s="154"/>
      <c r="Z35" s="154"/>
      <c r="AA35" s="164"/>
      <c r="AB35" s="153"/>
      <c r="AC35" s="154"/>
      <c r="AD35" s="154"/>
      <c r="AE35" s="154"/>
      <c r="AF35" s="154"/>
      <c r="AG35" s="155"/>
      <c r="AH35" s="156"/>
      <c r="AK35" s="44"/>
      <c r="AL35" s="44"/>
      <c r="AM35" s="41"/>
      <c r="AN35" s="84"/>
      <c r="AO35" s="55">
        <f t="shared" si="1"/>
        <v>0</v>
      </c>
      <c r="AP35" s="78"/>
      <c r="AQ35" s="78"/>
      <c r="AR35" s="78"/>
      <c r="AS35" s="78"/>
      <c r="AT35" s="78"/>
      <c r="AU35" s="78"/>
      <c r="AV35" s="78"/>
      <c r="AW35" s="78"/>
      <c r="AX35" s="78"/>
      <c r="AY35" s="78"/>
      <c r="AZ35" s="78"/>
      <c r="BA35" s="78"/>
      <c r="BB35" s="78"/>
      <c r="BC35" s="78"/>
      <c r="BD35" s="51"/>
      <c r="BE35" s="51"/>
      <c r="BF35" s="51"/>
      <c r="BG35" s="55" t="str">
        <f t="shared" si="2"/>
        <v/>
      </c>
      <c r="BI35" s="59"/>
      <c r="BJ35" s="59"/>
      <c r="BK35" s="59"/>
      <c r="BL35" s="59"/>
      <c r="BM35" s="59"/>
      <c r="BN35" s="59"/>
      <c r="BO35" s="59"/>
      <c r="BP35" s="59"/>
      <c r="BQ35" s="59"/>
      <c r="BR35" s="59"/>
      <c r="BS35" s="59"/>
      <c r="BT35" s="59"/>
      <c r="BU35" s="59"/>
      <c r="BV35" s="59"/>
      <c r="BW35" s="59"/>
    </row>
    <row r="36" spans="1:75" ht="15" customHeight="1" x14ac:dyDescent="0.25">
      <c r="A36" s="59"/>
      <c r="B36" s="59"/>
      <c r="C36" s="61"/>
      <c r="D36" s="166"/>
      <c r="E36" s="62">
        <f>AE22</f>
        <v>304</v>
      </c>
      <c r="F36" s="62">
        <f>AE23</f>
        <v>94</v>
      </c>
      <c r="G36" s="62">
        <f>AE24</f>
        <v>104</v>
      </c>
      <c r="H36" s="62">
        <f>AF25</f>
        <v>126</v>
      </c>
      <c r="I36" s="62">
        <f>AF26</f>
        <v>191</v>
      </c>
      <c r="J36" s="62">
        <f>AF27</f>
        <v>177</v>
      </c>
      <c r="K36" s="62">
        <f>AE28</f>
        <v>103</v>
      </c>
      <c r="L36" s="62">
        <f>AF29</f>
        <v>512</v>
      </c>
      <c r="M36" s="166"/>
      <c r="N36" s="61"/>
      <c r="O36" s="61"/>
      <c r="P36" s="59"/>
      <c r="Q36" s="59"/>
      <c r="R36" s="157"/>
      <c r="S36" s="158"/>
      <c r="T36" s="158"/>
      <c r="U36" s="158"/>
      <c r="V36" s="165"/>
      <c r="W36" s="157"/>
      <c r="X36" s="158"/>
      <c r="Y36" s="158"/>
      <c r="Z36" s="158"/>
      <c r="AA36" s="165"/>
      <c r="AB36" s="157"/>
      <c r="AC36" s="158"/>
      <c r="AD36" s="158"/>
      <c r="AE36" s="158"/>
      <c r="AF36" s="158"/>
      <c r="AG36" s="98"/>
      <c r="AH36" s="159"/>
      <c r="AK36" s="44"/>
      <c r="AL36" s="44"/>
      <c r="AM36" s="41"/>
      <c r="AN36" s="84"/>
      <c r="AO36" s="55">
        <f t="shared" si="1"/>
        <v>0</v>
      </c>
      <c r="AP36" s="78"/>
      <c r="AQ36" s="78"/>
      <c r="AR36" s="78"/>
      <c r="AS36" s="78"/>
      <c r="AT36" s="78"/>
      <c r="AU36" s="78"/>
      <c r="AV36" s="78"/>
      <c r="AW36" s="78"/>
      <c r="AX36" s="78"/>
      <c r="AY36" s="78"/>
      <c r="AZ36" s="78"/>
      <c r="BA36" s="78"/>
      <c r="BB36" s="78"/>
      <c r="BC36" s="78"/>
      <c r="BD36" s="51"/>
      <c r="BE36" s="51"/>
      <c r="BF36" s="51"/>
      <c r="BG36" s="55" t="str">
        <f t="shared" si="2"/>
        <v/>
      </c>
      <c r="BI36" s="59"/>
      <c r="BJ36" s="59"/>
      <c r="BK36" s="59"/>
      <c r="BL36" s="59"/>
      <c r="BM36" s="59"/>
      <c r="BN36" s="59"/>
      <c r="BO36" s="59"/>
      <c r="BP36" s="59"/>
      <c r="BQ36" s="59"/>
      <c r="BR36" s="59"/>
      <c r="BS36" s="59"/>
      <c r="BT36" s="59"/>
      <c r="BU36" s="59"/>
      <c r="BV36" s="59"/>
      <c r="BW36" s="59"/>
    </row>
    <row r="37" spans="1:75" ht="15" customHeight="1" x14ac:dyDescent="0.25">
      <c r="A37" s="59"/>
      <c r="B37" s="59"/>
      <c r="C37" s="61"/>
      <c r="D37" s="63" t="s">
        <v>52</v>
      </c>
      <c r="E37" s="64"/>
      <c r="F37" s="64"/>
      <c r="G37" s="64"/>
      <c r="H37" s="64"/>
      <c r="I37" s="64"/>
      <c r="J37" s="64"/>
      <c r="K37" s="64"/>
      <c r="L37" s="65"/>
      <c r="M37" s="65"/>
      <c r="N37" s="61"/>
      <c r="O37" s="61"/>
      <c r="P37" s="59"/>
      <c r="Q37" s="59"/>
      <c r="R37" s="160" t="s">
        <v>49</v>
      </c>
      <c r="S37" s="125"/>
      <c r="T37" s="125"/>
      <c r="U37" s="125"/>
      <c r="V37" s="138"/>
      <c r="W37" s="160" t="s">
        <v>93</v>
      </c>
      <c r="X37" s="125"/>
      <c r="Y37" s="125"/>
      <c r="Z37" s="125"/>
      <c r="AA37" s="138"/>
      <c r="AB37" s="160" t="s">
        <v>94</v>
      </c>
      <c r="AC37" s="125"/>
      <c r="AD37" s="125"/>
      <c r="AE37" s="125"/>
      <c r="AF37" s="125"/>
      <c r="AG37" s="126"/>
      <c r="AH37" s="127"/>
      <c r="AK37" s="38"/>
      <c r="AL37" s="38"/>
      <c r="AN37" s="59"/>
      <c r="AO37" s="55">
        <f t="shared" si="1"/>
        <v>0</v>
      </c>
      <c r="AP37" s="78"/>
      <c r="AQ37" s="78"/>
      <c r="AR37" s="78"/>
      <c r="AS37" s="78"/>
      <c r="AT37" s="78"/>
      <c r="AU37" s="78"/>
      <c r="AV37" s="78"/>
      <c r="AW37" s="78"/>
      <c r="AX37" s="78"/>
      <c r="AY37" s="78"/>
      <c r="AZ37" s="78"/>
      <c r="BA37" s="78"/>
      <c r="BB37" s="78"/>
      <c r="BC37" s="78"/>
      <c r="BD37" s="51"/>
      <c r="BE37" s="51"/>
      <c r="BF37" s="51"/>
      <c r="BG37" s="55" t="str">
        <f t="shared" si="2"/>
        <v/>
      </c>
      <c r="BI37" s="59"/>
      <c r="BJ37" s="59"/>
      <c r="BK37" s="59"/>
      <c r="BL37" s="59"/>
      <c r="BM37" s="59"/>
      <c r="BN37" s="59"/>
      <c r="BO37" s="59"/>
      <c r="BP37" s="59"/>
      <c r="BQ37" s="59"/>
      <c r="BR37" s="59"/>
      <c r="BS37" s="59"/>
      <c r="BT37" s="59"/>
      <c r="BU37" s="59"/>
      <c r="BV37" s="59"/>
      <c r="BW37" s="59"/>
    </row>
    <row r="38" spans="1:75" ht="15" customHeight="1" x14ac:dyDescent="0.25">
      <c r="A38" s="59"/>
      <c r="B38" s="59"/>
      <c r="C38" s="61"/>
      <c r="D38" s="61"/>
      <c r="E38" s="66"/>
      <c r="F38" s="61"/>
      <c r="G38" s="61"/>
      <c r="H38" s="61"/>
      <c r="I38" s="61"/>
      <c r="J38" s="61"/>
      <c r="K38" s="61"/>
      <c r="L38" s="61"/>
      <c r="M38" s="61"/>
      <c r="N38" s="61"/>
      <c r="O38" s="61"/>
      <c r="P38" s="59"/>
      <c r="Q38" s="59"/>
      <c r="R38" s="124" t="s">
        <v>14</v>
      </c>
      <c r="S38" s="125"/>
      <c r="T38" s="125"/>
      <c r="U38" s="125"/>
      <c r="V38" s="138"/>
      <c r="W38" s="124" t="s">
        <v>15</v>
      </c>
      <c r="X38" s="125"/>
      <c r="Y38" s="125"/>
      <c r="Z38" s="125"/>
      <c r="AA38" s="138"/>
      <c r="AB38" s="124" t="s">
        <v>15</v>
      </c>
      <c r="AC38" s="125"/>
      <c r="AD38" s="125"/>
      <c r="AE38" s="125"/>
      <c r="AF38" s="125"/>
      <c r="AG38" s="126"/>
      <c r="AH38" s="127"/>
      <c r="AK38" s="38"/>
      <c r="AL38" s="38"/>
      <c r="AN38" s="59"/>
      <c r="AO38" s="55">
        <f t="shared" si="1"/>
        <v>0</v>
      </c>
      <c r="AP38" s="78"/>
      <c r="AQ38" s="78"/>
      <c r="AR38" s="78"/>
      <c r="AS38" s="78"/>
      <c r="AT38" s="78"/>
      <c r="AU38" s="78"/>
      <c r="AV38" s="78"/>
      <c r="AW38" s="78"/>
      <c r="AX38" s="78"/>
      <c r="AY38" s="78"/>
      <c r="AZ38" s="78"/>
      <c r="BA38" s="78"/>
      <c r="BB38" s="78"/>
      <c r="BC38" s="78"/>
      <c r="BD38" s="51"/>
      <c r="BE38" s="51"/>
      <c r="BF38" s="51"/>
      <c r="BG38" s="55" t="str">
        <f t="shared" si="2"/>
        <v/>
      </c>
      <c r="BI38" s="59"/>
      <c r="BJ38" s="59"/>
      <c r="BK38" s="59"/>
      <c r="BL38" s="59"/>
      <c r="BM38" s="59"/>
      <c r="BN38" s="59"/>
      <c r="BO38" s="59"/>
      <c r="BP38" s="59"/>
      <c r="BQ38" s="59"/>
      <c r="BR38" s="59"/>
      <c r="BS38" s="59"/>
      <c r="BT38" s="59"/>
      <c r="BU38" s="59"/>
      <c r="BV38" s="59"/>
      <c r="BW38" s="59"/>
    </row>
    <row r="39" spans="1:75" ht="15" customHeight="1" x14ac:dyDescent="0.25">
      <c r="A39" s="59"/>
      <c r="B39" s="59"/>
      <c r="C39" s="61"/>
      <c r="D39" s="61"/>
      <c r="E39" s="61"/>
      <c r="F39" s="61"/>
      <c r="G39" s="61"/>
      <c r="H39" s="61"/>
      <c r="I39" s="61"/>
      <c r="J39" s="61"/>
      <c r="K39" s="61"/>
      <c r="L39" s="61"/>
      <c r="M39" s="61"/>
      <c r="N39" s="61"/>
      <c r="O39" s="61"/>
      <c r="P39" s="59"/>
      <c r="Q39" s="59"/>
      <c r="R39" s="124" t="s">
        <v>58</v>
      </c>
      <c r="S39" s="139"/>
      <c r="T39" s="139"/>
      <c r="U39" s="139"/>
      <c r="V39" s="140"/>
      <c r="W39" s="144" t="s">
        <v>56</v>
      </c>
      <c r="X39" s="145"/>
      <c r="Y39" s="145"/>
      <c r="Z39" s="145"/>
      <c r="AA39" s="145"/>
      <c r="AB39" s="128" t="s">
        <v>102</v>
      </c>
      <c r="AC39" s="129"/>
      <c r="AD39" s="129"/>
      <c r="AE39" s="129"/>
      <c r="AF39" s="129"/>
      <c r="AG39" s="130"/>
      <c r="AH39" s="131"/>
      <c r="AN39" s="85"/>
      <c r="AO39" s="55">
        <f t="shared" si="1"/>
        <v>0</v>
      </c>
      <c r="AP39" s="78"/>
      <c r="AQ39" s="78"/>
      <c r="AR39" s="78"/>
      <c r="AS39" s="78"/>
      <c r="AT39" s="78"/>
      <c r="AU39" s="78"/>
      <c r="AV39" s="78"/>
      <c r="AW39" s="78"/>
      <c r="AX39" s="78"/>
      <c r="AY39" s="78"/>
      <c r="AZ39" s="78"/>
      <c r="BA39" s="78"/>
      <c r="BB39" s="78"/>
      <c r="BC39" s="78"/>
      <c r="BD39" s="51"/>
      <c r="BE39" s="51"/>
      <c r="BF39" s="51"/>
      <c r="BG39" s="55" t="str">
        <f t="shared" si="2"/>
        <v/>
      </c>
      <c r="BI39" s="59"/>
      <c r="BJ39" s="59"/>
      <c r="BK39" s="59"/>
      <c r="BL39" s="59"/>
      <c r="BM39" s="59"/>
      <c r="BN39" s="59"/>
      <c r="BO39" s="59"/>
      <c r="BP39" s="59"/>
      <c r="BQ39" s="59"/>
      <c r="BR39" s="59"/>
      <c r="BS39" s="59"/>
      <c r="BT39" s="59"/>
      <c r="BU39" s="59"/>
      <c r="BV39" s="59"/>
      <c r="BW39" s="59"/>
    </row>
    <row r="40" spans="1:75" ht="15" customHeight="1" x14ac:dyDescent="0.25">
      <c r="A40" s="59"/>
      <c r="B40" s="59"/>
      <c r="C40" s="59"/>
      <c r="D40" s="64"/>
      <c r="E40" s="64"/>
      <c r="F40" s="64"/>
      <c r="G40" s="64"/>
      <c r="H40" s="64"/>
      <c r="I40" s="64"/>
      <c r="J40" s="64"/>
      <c r="K40" s="64"/>
      <c r="L40" s="64"/>
      <c r="M40" s="64"/>
      <c r="N40" s="59"/>
      <c r="O40" s="59"/>
      <c r="P40" s="59"/>
      <c r="Q40" s="59"/>
      <c r="R40" s="141" t="s">
        <v>59</v>
      </c>
      <c r="S40" s="142"/>
      <c r="T40" s="142"/>
      <c r="U40" s="142"/>
      <c r="V40" s="143"/>
      <c r="W40" s="146" t="s">
        <v>57</v>
      </c>
      <c r="X40" s="146"/>
      <c r="Y40" s="146"/>
      <c r="Z40" s="146"/>
      <c r="AA40" s="146"/>
      <c r="AB40" s="132" t="s">
        <v>101</v>
      </c>
      <c r="AC40" s="133"/>
      <c r="AD40" s="133"/>
      <c r="AE40" s="133"/>
      <c r="AF40" s="133"/>
      <c r="AG40" s="134"/>
      <c r="AH40" s="135"/>
      <c r="AN40" s="59"/>
      <c r="AO40" s="55">
        <f t="shared" si="1"/>
        <v>0</v>
      </c>
      <c r="AP40" s="78"/>
      <c r="AQ40" s="78"/>
      <c r="AR40" s="78"/>
      <c r="AS40" s="78"/>
      <c r="AT40" s="78"/>
      <c r="AU40" s="78"/>
      <c r="AV40" s="78"/>
      <c r="AW40" s="78"/>
      <c r="AX40" s="78"/>
      <c r="AY40" s="78"/>
      <c r="AZ40" s="78"/>
      <c r="BA40" s="78"/>
      <c r="BB40" s="78"/>
      <c r="BC40" s="78"/>
      <c r="BD40" s="51"/>
      <c r="BE40" s="51"/>
      <c r="BF40" s="51"/>
      <c r="BG40" s="55" t="str">
        <f t="shared" si="2"/>
        <v/>
      </c>
      <c r="BI40" s="59"/>
      <c r="BJ40" s="59"/>
      <c r="BK40" s="59"/>
      <c r="BL40" s="59"/>
      <c r="BM40" s="59"/>
      <c r="BN40" s="59"/>
      <c r="BO40" s="59"/>
      <c r="BP40" s="59"/>
      <c r="BQ40" s="59"/>
      <c r="BR40" s="59"/>
      <c r="BS40" s="59"/>
      <c r="BT40" s="59"/>
      <c r="BU40" s="59"/>
      <c r="BV40" s="59"/>
      <c r="BW40" s="59"/>
    </row>
    <row r="41" spans="1:75" ht="15" customHeight="1" x14ac:dyDescent="0.25">
      <c r="A41" s="59"/>
      <c r="B41" s="59"/>
      <c r="C41" s="59"/>
      <c r="D41" s="59"/>
      <c r="E41" s="59"/>
      <c r="F41" s="59"/>
      <c r="G41" s="59"/>
      <c r="H41" s="59"/>
      <c r="I41" s="59"/>
      <c r="J41" s="59"/>
      <c r="K41" s="59"/>
      <c r="L41" s="59"/>
      <c r="M41" s="59"/>
      <c r="N41" s="59"/>
      <c r="O41" s="59"/>
      <c r="P41" s="59"/>
      <c r="Q41" s="59"/>
      <c r="AN41" s="86"/>
      <c r="AO41" s="55">
        <f t="shared" si="1"/>
        <v>0</v>
      </c>
      <c r="AP41" s="78"/>
      <c r="AQ41" s="78"/>
      <c r="AR41" s="78"/>
      <c r="AS41" s="78"/>
      <c r="AT41" s="78"/>
      <c r="AU41" s="78"/>
      <c r="AV41" s="78"/>
      <c r="AW41" s="78"/>
      <c r="AX41" s="78"/>
      <c r="AY41" s="78"/>
      <c r="AZ41" s="78"/>
      <c r="BA41" s="78"/>
      <c r="BB41" s="78"/>
      <c r="BC41" s="78"/>
      <c r="BD41" s="51"/>
      <c r="BE41" s="51"/>
      <c r="BF41" s="51"/>
      <c r="BG41" s="55" t="str">
        <f t="shared" si="2"/>
        <v/>
      </c>
      <c r="BI41" s="59"/>
      <c r="BJ41" s="59"/>
      <c r="BK41" s="59"/>
      <c r="BL41" s="59"/>
      <c r="BM41" s="59"/>
      <c r="BN41" s="59"/>
      <c r="BO41" s="59"/>
      <c r="BP41" s="59"/>
      <c r="BQ41" s="59"/>
      <c r="BR41" s="59"/>
      <c r="BS41" s="59"/>
      <c r="BT41" s="59"/>
      <c r="BU41" s="59"/>
      <c r="BV41" s="59"/>
      <c r="BW41" s="59"/>
    </row>
    <row r="42" spans="1:75" ht="15" customHeight="1" x14ac:dyDescent="0.25">
      <c r="A42" s="59"/>
      <c r="B42" s="59"/>
      <c r="C42" s="59"/>
      <c r="D42" s="59"/>
      <c r="E42" s="59"/>
      <c r="F42" s="59"/>
      <c r="G42" s="59"/>
      <c r="H42" s="59"/>
      <c r="I42" s="59"/>
      <c r="J42" s="59"/>
      <c r="K42" s="59"/>
      <c r="L42" s="59"/>
      <c r="M42" s="59"/>
      <c r="N42" s="59"/>
      <c r="O42" s="59"/>
      <c r="P42" s="59"/>
      <c r="Q42" s="59"/>
      <c r="W42" s="136" t="s">
        <v>21</v>
      </c>
      <c r="X42" s="137"/>
      <c r="Y42" s="137"/>
      <c r="Z42" s="137"/>
      <c r="AA42" s="137"/>
      <c r="AB42" s="137"/>
      <c r="AC42" s="137"/>
      <c r="AD42" s="137"/>
      <c r="AE42" s="137"/>
      <c r="AF42" s="137"/>
      <c r="AN42" s="86"/>
      <c r="AO42" s="55">
        <f t="shared" si="1"/>
        <v>0</v>
      </c>
      <c r="AP42" s="78"/>
      <c r="AQ42" s="78"/>
      <c r="AR42" s="78"/>
      <c r="AS42" s="78"/>
      <c r="AT42" s="78"/>
      <c r="AU42" s="78"/>
      <c r="AV42" s="78"/>
      <c r="AW42" s="78"/>
      <c r="AX42" s="78"/>
      <c r="AY42" s="78"/>
      <c r="AZ42" s="78"/>
      <c r="BA42" s="78"/>
      <c r="BB42" s="78"/>
      <c r="BC42" s="78"/>
      <c r="BD42" s="51"/>
      <c r="BE42" s="51"/>
      <c r="BF42" s="51"/>
      <c r="BG42" s="55" t="str">
        <f t="shared" si="2"/>
        <v/>
      </c>
      <c r="BI42" s="59"/>
      <c r="BJ42" s="59"/>
      <c r="BK42" s="59"/>
      <c r="BL42" s="59"/>
      <c r="BM42" s="59"/>
      <c r="BN42" s="59"/>
      <c r="BO42" s="59"/>
      <c r="BP42" s="59"/>
      <c r="BQ42" s="59"/>
      <c r="BR42" s="59"/>
      <c r="BS42" s="59"/>
      <c r="BT42" s="59"/>
      <c r="BU42" s="59"/>
      <c r="BV42" s="59"/>
      <c r="BW42" s="59"/>
    </row>
    <row r="43" spans="1:75" ht="15" customHeight="1" x14ac:dyDescent="0.25">
      <c r="A43" s="59"/>
      <c r="B43" s="59"/>
      <c r="C43" s="59"/>
      <c r="D43" s="59"/>
      <c r="E43" s="59"/>
      <c r="F43" s="59"/>
      <c r="G43" s="59"/>
      <c r="H43" s="59"/>
      <c r="I43" s="59"/>
      <c r="J43" s="59"/>
      <c r="K43" s="59"/>
      <c r="L43" s="59"/>
      <c r="M43" s="59"/>
      <c r="N43" s="59"/>
      <c r="O43" s="59"/>
      <c r="P43" s="59"/>
      <c r="Q43" s="59"/>
      <c r="AN43" s="59"/>
      <c r="AO43" s="55">
        <f t="shared" si="1"/>
        <v>0</v>
      </c>
      <c r="AP43" s="78"/>
      <c r="AQ43" s="78"/>
      <c r="AR43" s="78"/>
      <c r="AS43" s="78"/>
      <c r="AT43" s="78"/>
      <c r="AU43" s="78"/>
      <c r="AV43" s="78"/>
      <c r="AW43" s="78"/>
      <c r="AX43" s="78"/>
      <c r="AY43" s="78"/>
      <c r="AZ43" s="78"/>
      <c r="BA43" s="78"/>
      <c r="BB43" s="78"/>
      <c r="BC43" s="78"/>
      <c r="BD43" s="51"/>
      <c r="BE43" s="51"/>
      <c r="BF43" s="51"/>
      <c r="BG43" s="55" t="str">
        <f t="shared" si="2"/>
        <v/>
      </c>
      <c r="BI43" s="59"/>
      <c r="BJ43" s="59"/>
      <c r="BK43" s="59"/>
      <c r="BL43" s="59"/>
      <c r="BM43" s="59"/>
      <c r="BN43" s="59"/>
      <c r="BO43" s="59"/>
      <c r="BP43" s="59"/>
      <c r="BQ43" s="59"/>
      <c r="BR43" s="59"/>
      <c r="BS43" s="59"/>
      <c r="BT43" s="59"/>
      <c r="BU43" s="59"/>
      <c r="BV43" s="59"/>
      <c r="BW43" s="59"/>
    </row>
    <row r="44" spans="1:75" ht="12.75" customHeight="1" x14ac:dyDescent="0.25">
      <c r="A44" s="117" t="s">
        <v>19</v>
      </c>
      <c r="B44" s="118"/>
      <c r="C44" s="118"/>
      <c r="D44" s="118"/>
      <c r="E44" s="118"/>
      <c r="F44" s="118"/>
      <c r="G44" s="120" t="s">
        <v>30</v>
      </c>
      <c r="H44" s="120"/>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20"/>
      <c r="AM44" s="121"/>
      <c r="BI44" s="59"/>
      <c r="BJ44" s="59"/>
      <c r="BK44" s="59"/>
      <c r="BL44" s="59"/>
      <c r="BM44" s="59"/>
      <c r="BN44" s="59"/>
      <c r="BO44" s="59"/>
      <c r="BP44" s="59"/>
      <c r="BQ44" s="59"/>
      <c r="BR44" s="59"/>
      <c r="BS44" s="59"/>
      <c r="BT44" s="59"/>
      <c r="BU44" s="59"/>
      <c r="BV44" s="59"/>
      <c r="BW44" s="59"/>
    </row>
    <row r="45" spans="1:75" ht="12.75" customHeight="1" x14ac:dyDescent="0.25">
      <c r="A45" s="119"/>
      <c r="B45" s="98"/>
      <c r="C45" s="98"/>
      <c r="D45" s="98"/>
      <c r="E45" s="98"/>
      <c r="F45" s="98"/>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3"/>
      <c r="BI45" s="59"/>
      <c r="BJ45" s="59"/>
      <c r="BK45" s="59"/>
      <c r="BL45" s="59"/>
      <c r="BM45" s="59"/>
      <c r="BN45" s="59"/>
      <c r="BO45" s="59"/>
      <c r="BP45" s="59"/>
      <c r="BQ45" s="59"/>
      <c r="BR45" s="59"/>
      <c r="BS45" s="59"/>
      <c r="BT45" s="59"/>
      <c r="BU45" s="59"/>
      <c r="BV45" s="59"/>
      <c r="BW45" s="59"/>
    </row>
    <row r="46" spans="1:75" ht="12.75" customHeight="1" x14ac:dyDescent="0.25">
      <c r="BI46" s="59"/>
      <c r="BJ46" s="59"/>
      <c r="BK46" s="59"/>
      <c r="BL46" s="59"/>
      <c r="BM46" s="59"/>
      <c r="BN46" s="59"/>
      <c r="BO46" s="59"/>
      <c r="BP46" s="59"/>
      <c r="BQ46" s="59"/>
      <c r="BR46" s="59"/>
      <c r="BS46" s="59"/>
      <c r="BT46" s="59"/>
      <c r="BU46" s="59"/>
      <c r="BV46" s="59"/>
      <c r="BW46" s="59"/>
    </row>
    <row r="47" spans="1:75" ht="12.75" customHeight="1" x14ac:dyDescent="0.25"/>
    <row r="48" spans="1:75" ht="12.75" customHeight="1" x14ac:dyDescent="0.25"/>
    <row r="49" ht="12.75" customHeight="1" x14ac:dyDescent="0.25"/>
    <row r="50" ht="12.75" customHeight="1" x14ac:dyDescent="0.25"/>
  </sheetData>
  <sheetProtection sheet="1" formatCells="0" formatColumns="0" formatRows="0" insertColumns="0" insertRows="0" insertHyperlinks="0" deleteColumns="0" deleteRows="0" sort="0" autoFilter="0" pivotTables="0"/>
  <customSheetViews>
    <customSheetView guid="{CEE82286-2DC3-4150-9989-30CF9F331A30}" fitToPage="1" hiddenColumns="1">
      <selection activeCell="AH2" sqref="AH2:AJ2"/>
      <pageMargins left="0.4" right="0.25" top="0.3" bottom="0.3" header="0.25" footer="0.25"/>
      <printOptions horizontalCentered="1"/>
      <pageSetup scale="63" orientation="landscape" r:id="rId1"/>
      <headerFooter alignWithMargins="0"/>
    </customSheetView>
    <customSheetView guid="{4FF8E199-9DCD-4A1D-B440-7626F2F9D72A}"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37">
    <mergeCell ref="AB33:AH33"/>
    <mergeCell ref="AB34:AH36"/>
    <mergeCell ref="AB37:AH37"/>
    <mergeCell ref="R37:V37"/>
    <mergeCell ref="W33:AA33"/>
    <mergeCell ref="W34:AA36"/>
    <mergeCell ref="R33:V33"/>
    <mergeCell ref="R34:V36"/>
    <mergeCell ref="W37:AA37"/>
    <mergeCell ref="A44:F45"/>
    <mergeCell ref="G44:AM45"/>
    <mergeCell ref="AB38:AH38"/>
    <mergeCell ref="AB39:AH39"/>
    <mergeCell ref="AB40:AH40"/>
    <mergeCell ref="W42:AF42"/>
    <mergeCell ref="R38:V38"/>
    <mergeCell ref="W38:AA38"/>
    <mergeCell ref="R39:V39"/>
    <mergeCell ref="R40:V40"/>
    <mergeCell ref="W39:AA39"/>
    <mergeCell ref="W40:AA40"/>
    <mergeCell ref="Q9:AM9"/>
    <mergeCell ref="G1:AG1"/>
    <mergeCell ref="G2:AG2"/>
    <mergeCell ref="G3:AG3"/>
    <mergeCell ref="AH2:AJ2"/>
    <mergeCell ref="A5:I5"/>
    <mergeCell ref="J5:O5"/>
    <mergeCell ref="P5:T5"/>
    <mergeCell ref="U5:AB5"/>
    <mergeCell ref="AC5:AH5"/>
    <mergeCell ref="AI5:AM5"/>
    <mergeCell ref="A8:P8"/>
    <mergeCell ref="A7:P7"/>
    <mergeCell ref="Q7:AM7"/>
    <mergeCell ref="Q8:AB8"/>
    <mergeCell ref="AC8:AM8"/>
  </mergeCells>
  <phoneticPr fontId="15" type="noConversion"/>
  <printOptions horizontalCentered="1"/>
  <pageMargins left="0.4" right="0.25" top="0.3" bottom="0.3" header="0.25" footer="0.25"/>
  <pageSetup scale="62" orientation="landscape" r:id="rId3"/>
  <headerFooter alignWithMargins="0"/>
  <ignoredErrors>
    <ignoredError sqref="C13:M22 E11 E31:M31 E27:L27 D36:M36 E32:H32 J32:M32 E28:M28 E29:M29 E30:M30 E33:M33 E34:M34 E35:M35" unlockedFormula="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42"/>
  <sheetViews>
    <sheetView topLeftCell="A4" workbookViewId="0">
      <selection activeCell="W13" sqref="W13"/>
    </sheetView>
  </sheetViews>
  <sheetFormatPr defaultRowHeight="13.2" x14ac:dyDescent="0.25"/>
  <cols>
    <col min="6" max="11" width="9.33203125" style="55" hidden="1" customWidth="1"/>
  </cols>
  <sheetData>
    <row r="1" spans="1:11" x14ac:dyDescent="0.25">
      <c r="A1" t="s">
        <v>36</v>
      </c>
      <c r="F1" s="55" t="s">
        <v>24</v>
      </c>
      <c r="G1" s="55">
        <f ca="1">COLUMN(INDIRECT("'"&amp;F2&amp;"'!"&amp;F1))</f>
        <v>18</v>
      </c>
      <c r="H1" s="55">
        <f ca="1">ROW(INDIRECT("'"&amp;F2&amp;"'!"&amp;F1))</f>
        <v>14</v>
      </c>
      <c r="I1" s="55" t="s">
        <v>42</v>
      </c>
    </row>
    <row r="2" spans="1:11" x14ac:dyDescent="0.25">
      <c r="A2" t="s">
        <v>32</v>
      </c>
      <c r="F2" s="55" t="s">
        <v>25</v>
      </c>
    </row>
    <row r="3" spans="1:11" x14ac:dyDescent="0.25">
      <c r="A3" t="s">
        <v>47</v>
      </c>
      <c r="F3" s="55">
        <f>MAX(arrayrows)</f>
        <v>14</v>
      </c>
      <c r="G3" s="55">
        <f>MIN(arraycols)</f>
        <v>3</v>
      </c>
      <c r="H3" s="55">
        <f ca="1">MAX(K15:K142)</f>
        <v>0</v>
      </c>
    </row>
    <row r="4" spans="1:11" x14ac:dyDescent="0.25">
      <c r="A4" s="56" t="s">
        <v>43</v>
      </c>
    </row>
    <row r="5" spans="1:11" x14ac:dyDescent="0.25">
      <c r="A5" s="56" t="s">
        <v>44</v>
      </c>
    </row>
    <row r="6" spans="1:11" x14ac:dyDescent="0.25">
      <c r="A6" s="58" t="s">
        <v>54</v>
      </c>
    </row>
    <row r="7" spans="1:11" x14ac:dyDescent="0.25">
      <c r="A7" t="s">
        <v>45</v>
      </c>
    </row>
    <row r="8" spans="1:11" x14ac:dyDescent="0.25">
      <c r="A8" t="s">
        <v>46</v>
      </c>
    </row>
    <row r="9" spans="1:11" x14ac:dyDescent="0.25">
      <c r="A9" t="s">
        <v>32</v>
      </c>
    </row>
    <row r="10" spans="1:11" x14ac:dyDescent="0.25">
      <c r="A10" t="s">
        <v>33</v>
      </c>
    </row>
    <row r="11" spans="1:11" x14ac:dyDescent="0.25">
      <c r="A11" t="s">
        <v>34</v>
      </c>
    </row>
    <row r="12" spans="1:11" x14ac:dyDescent="0.25">
      <c r="A12" t="s">
        <v>32</v>
      </c>
    </row>
    <row r="13" spans="1:11" x14ac:dyDescent="0.25">
      <c r="A13" t="str">
        <f ca="1">"Cerebus mapping for array "&amp;TRIM(MID(INDIRECT("'"&amp;F2&amp;"'!U5"),FIND("#",INDIRECT("'"&amp;F2&amp;"'!U5"))+1,LEN(INDIRECT("'"&amp;F2&amp;"'!U5"))-FIND("#",INDIRECT("'"&amp;F2&amp;"'!U5"))))&amp;"    "&amp;INDIRECT("'"&amp;F2&amp;"'!Ai5")</f>
        <v>Cerebus mapping for array 1138-34    SN:1025-004419</v>
      </c>
    </row>
    <row r="14" spans="1:11" x14ac:dyDescent="0.25">
      <c r="A14" t="s">
        <v>38</v>
      </c>
      <c r="B14" t="s">
        <v>39</v>
      </c>
      <c r="C14" t="s">
        <v>40</v>
      </c>
      <c r="D14" t="s">
        <v>26</v>
      </c>
      <c r="E14" t="s">
        <v>41</v>
      </c>
    </row>
    <row r="15" spans="1:11" x14ac:dyDescent="0.25">
      <c r="A15">
        <f ca="1">IF(H15=0,"",VALUE(LEFT(J15,FIND(",",J15)-1)))</f>
        <v>0</v>
      </c>
      <c r="B15">
        <f ca="1">IF(H15=0,"",ABS(MID(J15,FIND(",",J15)+1,3)))</f>
        <v>8</v>
      </c>
      <c r="C15" t="str">
        <f ca="1">IF(A15="","",LEFT(IF(A15="","",INDEX($F$15:$G$142,MATCH(H15,$G$15:$G$142,0),1)),1))</f>
        <v>C</v>
      </c>
      <c r="D15" t="str">
        <f ca="1">IF(C15="","",TRIM(RIGHT(IF(C15="","",INDEX($F$15:$G$142,MATCH(H15,$G$15:$G$142,0),1)),2)))</f>
        <v>1</v>
      </c>
      <c r="E15" t="str">
        <f ca="1">IF(H15=0,"","elec"&amp;IF($H$3&gt;1,K15&amp;"-","")&amp;H15)</f>
        <v>elec96</v>
      </c>
      <c r="F15" s="55" t="s">
        <v>27</v>
      </c>
      <c r="G15" s="55">
        <f ca="1">INDIRECT("'"&amp;$F$2&amp;"'!R"&amp;INT((VALUE(MID($F15,3,2))-1)/2)+$H$1&amp;"C"&amp;$G$1+CHOOSE(IF(LEFT($F15,1)="A",1,IF(LEFT($F15,1)="B",2,IF(LEFT($F15,1)="C",3,4))),1,7,12,17)+IF(MOD(VALUE(MID($F15,3,2)),2),0,3),0)</f>
        <v>78</v>
      </c>
      <c r="H15" s="55">
        <f ca="1">I15</f>
        <v>96</v>
      </c>
      <c r="I15" s="55">
        <f ca="1">MAX(G15:G142)</f>
        <v>96</v>
      </c>
      <c r="J15" s="55" t="str">
        <f t="shared" ref="J15:J46" ca="1" si="0">IF(H15=0,0,TableSearch(H15,arrayspace,$G$3,$F$3))</f>
        <v>0,-8</v>
      </c>
      <c r="K15" s="55">
        <f ca="1">IF(H15=0,0,INDIRECT("'"&amp;$F$2&amp;"'!"&amp;$I$1&amp;(-B15+$F$3+10)))</f>
        <v>0</v>
      </c>
    </row>
    <row r="16" spans="1:11" x14ac:dyDescent="0.25">
      <c r="A16">
        <f t="shared" ref="A16:A79" ca="1" si="1">IF(H16=0,"",VALUE(LEFT(J16,FIND(",",J16)-1)))</f>
        <v>0</v>
      </c>
      <c r="B16">
        <f t="shared" ref="B16:B79" ca="1" si="2">IF(H16=0,"",ABS(MID(J16,FIND(",",J16)+1,3)))</f>
        <v>7</v>
      </c>
      <c r="C16" t="str">
        <f t="shared" ref="C16:C79" ca="1" si="3">IF(A16="","",LEFT(IF(A16="","",INDEX($F$15:$G$142,MATCH(H16,$G$15:$G$142,0),1)),1))</f>
        <v>C</v>
      </c>
      <c r="D16" t="str">
        <f t="shared" ref="D16:D79" ca="1" si="4">IF(C16="","",TRIM(RIGHT(IF(C16="","",INDEX($F$15:$G$142,MATCH(H16,$G$15:$G$142,0),1)),2)))</f>
        <v>3</v>
      </c>
      <c r="E16" t="str">
        <f t="shared" ref="E16:E79" ca="1" si="5">IF(H16=0,"","elec"&amp;IF($H$3&gt;1,K16&amp;"-","")&amp;H16)</f>
        <v>elec95</v>
      </c>
      <c r="F16" s="55" t="str">
        <f t="shared" ref="F16:F51" si="6">LEFT(F15,1)&amp;" "&amp;VALUE(MID(F15,3,2))+1</f>
        <v>A 2</v>
      </c>
      <c r="G16" s="55">
        <f t="shared" ref="G16:G79" ca="1" si="7">INDIRECT("'"&amp;$F$2&amp;"'!R"&amp;INT((VALUE(MID($F16,3,2))-1)/2)+$H$1&amp;"C"&amp;$G$1+CHOOSE(IF(LEFT($F16,1)="A",1,IF(LEFT($F16,1)="B",2,IF(LEFT($F16,1)="C",3,4))),1,7,12,17)+IF(MOD(VALUE(MID($F16,3,2)),2),0,3),0)</f>
        <v>88</v>
      </c>
      <c r="H16" s="55">
        <f t="shared" ref="H16:H47" ca="1" si="8">IF(H15=0,0,MAX(INDIRECT("i"&amp;MATCH(H15,I:I,)+1&amp;":i142")))</f>
        <v>95</v>
      </c>
      <c r="I16" s="55">
        <f ca="1">IF(ISNA(MATCH($I$15-(ROW()-15),$G$15:$G$142,0)),0,$I$15-(ROW()-15))</f>
        <v>95</v>
      </c>
      <c r="J16" s="55" t="str">
        <f t="shared" ca="1" si="0"/>
        <v>0,-7</v>
      </c>
      <c r="K16" s="55">
        <f ca="1">IF(H16=0,0,INDIRECT("'"&amp;$F$2&amp;"'!"&amp;$I$1&amp;(-B16+$F$3+10)))</f>
        <v>0</v>
      </c>
    </row>
    <row r="17" spans="1:11" x14ac:dyDescent="0.25">
      <c r="A17">
        <f t="shared" ca="1" si="1"/>
        <v>0</v>
      </c>
      <c r="B17">
        <f t="shared" ca="1" si="2"/>
        <v>6</v>
      </c>
      <c r="C17" t="str">
        <f t="shared" ca="1" si="3"/>
        <v>C</v>
      </c>
      <c r="D17" t="str">
        <f t="shared" ca="1" si="4"/>
        <v>5</v>
      </c>
      <c r="E17" t="str">
        <f t="shared" ca="1" si="5"/>
        <v>elec94</v>
      </c>
      <c r="F17" s="55" t="str">
        <f t="shared" si="6"/>
        <v>A 3</v>
      </c>
      <c r="G17" s="55">
        <f t="shared" ca="1" si="7"/>
        <v>68</v>
      </c>
      <c r="H17" s="55">
        <f t="shared" ca="1" si="8"/>
        <v>94</v>
      </c>
      <c r="I17" s="55">
        <f t="shared" ref="I17:I80" ca="1" si="9">IF(ISNA(MATCH($I$15-(ROW()-15),$G$15:$G$142,0)),0,$I$15-(ROW()-15))</f>
        <v>94</v>
      </c>
      <c r="J17" s="55" t="str">
        <f t="shared" ca="1" si="0"/>
        <v>0,-6</v>
      </c>
      <c r="K17" s="55">
        <f t="shared" ref="K17:K80" ca="1" si="10">IF(H17=0,0,INDIRECT("'"&amp;$F$2&amp;"'!"&amp;$I$1&amp;(-B17+$F$3+10)))</f>
        <v>0</v>
      </c>
    </row>
    <row r="18" spans="1:11" x14ac:dyDescent="0.25">
      <c r="A18">
        <f t="shared" ca="1" si="1"/>
        <v>0</v>
      </c>
      <c r="B18">
        <f t="shared" ca="1" si="2"/>
        <v>5</v>
      </c>
      <c r="C18" t="str">
        <f t="shared" ca="1" si="3"/>
        <v>C</v>
      </c>
      <c r="D18" t="str">
        <f t="shared" ca="1" si="4"/>
        <v>7</v>
      </c>
      <c r="E18" t="str">
        <f t="shared" ca="1" si="5"/>
        <v>elec93</v>
      </c>
      <c r="F18" s="55" t="str">
        <f t="shared" si="6"/>
        <v>A 4</v>
      </c>
      <c r="G18" s="55">
        <f t="shared" ca="1" si="7"/>
        <v>58</v>
      </c>
      <c r="H18" s="55">
        <f t="shared" ca="1" si="8"/>
        <v>93</v>
      </c>
      <c r="I18" s="55">
        <f t="shared" ca="1" si="9"/>
        <v>93</v>
      </c>
      <c r="J18" s="55" t="str">
        <f t="shared" ca="1" si="0"/>
        <v>0,-5</v>
      </c>
      <c r="K18" s="55">
        <f t="shared" ca="1" si="10"/>
        <v>0</v>
      </c>
    </row>
    <row r="19" spans="1:11" x14ac:dyDescent="0.25">
      <c r="A19">
        <f t="shared" ca="1" si="1"/>
        <v>0</v>
      </c>
      <c r="B19">
        <f t="shared" ca="1" si="2"/>
        <v>4</v>
      </c>
      <c r="C19" t="str">
        <f t="shared" ca="1" si="3"/>
        <v>C</v>
      </c>
      <c r="D19" t="str">
        <f t="shared" ca="1" si="4"/>
        <v>9</v>
      </c>
      <c r="E19" t="str">
        <f t="shared" ca="1" si="5"/>
        <v>elec92</v>
      </c>
      <c r="F19" s="55" t="str">
        <f t="shared" si="6"/>
        <v>A 5</v>
      </c>
      <c r="G19" s="55">
        <f t="shared" ca="1" si="7"/>
        <v>56</v>
      </c>
      <c r="H19" s="55">
        <f t="shared" ca="1" si="8"/>
        <v>92</v>
      </c>
      <c r="I19" s="55">
        <f t="shared" ca="1" si="9"/>
        <v>92</v>
      </c>
      <c r="J19" s="55" t="str">
        <f t="shared" ca="1" si="0"/>
        <v>0,-4</v>
      </c>
      <c r="K19" s="55">
        <f t="shared" ca="1" si="10"/>
        <v>0</v>
      </c>
    </row>
    <row r="20" spans="1:11" x14ac:dyDescent="0.25">
      <c r="A20">
        <f t="shared" ca="1" si="1"/>
        <v>0</v>
      </c>
      <c r="B20">
        <f t="shared" ca="1" si="2"/>
        <v>3</v>
      </c>
      <c r="C20" t="str">
        <f t="shared" ca="1" si="3"/>
        <v>C</v>
      </c>
      <c r="D20" t="str">
        <f t="shared" ca="1" si="4"/>
        <v>11</v>
      </c>
      <c r="E20" t="str">
        <f t="shared" ca="1" si="5"/>
        <v>elec91</v>
      </c>
      <c r="F20" s="55" t="str">
        <f t="shared" si="6"/>
        <v>A 6</v>
      </c>
      <c r="G20" s="55">
        <f t="shared" ca="1" si="7"/>
        <v>48</v>
      </c>
      <c r="H20" s="55">
        <f t="shared" ca="1" si="8"/>
        <v>91</v>
      </c>
      <c r="I20" s="55">
        <f t="shared" ca="1" si="9"/>
        <v>91</v>
      </c>
      <c r="J20" s="55" t="str">
        <f t="shared" ca="1" si="0"/>
        <v>0,-3</v>
      </c>
      <c r="K20" s="55">
        <f t="shared" ca="1" si="10"/>
        <v>0</v>
      </c>
    </row>
    <row r="21" spans="1:11" x14ac:dyDescent="0.25">
      <c r="A21">
        <f t="shared" ca="1" si="1"/>
        <v>0</v>
      </c>
      <c r="B21">
        <f t="shared" ca="1" si="2"/>
        <v>2</v>
      </c>
      <c r="C21" t="str">
        <f t="shared" ca="1" si="3"/>
        <v>C</v>
      </c>
      <c r="D21" t="str">
        <f t="shared" ca="1" si="4"/>
        <v>13</v>
      </c>
      <c r="E21" t="str">
        <f t="shared" ca="1" si="5"/>
        <v>elec90</v>
      </c>
      <c r="F21" s="55" t="str">
        <f t="shared" si="6"/>
        <v>A 7</v>
      </c>
      <c r="G21" s="55">
        <f t="shared" ca="1" si="7"/>
        <v>57</v>
      </c>
      <c r="H21" s="55">
        <f t="shared" ca="1" si="8"/>
        <v>90</v>
      </c>
      <c r="I21" s="55">
        <f t="shared" ca="1" si="9"/>
        <v>90</v>
      </c>
      <c r="J21" s="55" t="str">
        <f t="shared" ca="1" si="0"/>
        <v>0,-2</v>
      </c>
      <c r="K21" s="55">
        <f t="shared" ca="1" si="10"/>
        <v>0</v>
      </c>
    </row>
    <row r="22" spans="1:11" x14ac:dyDescent="0.25">
      <c r="A22">
        <f t="shared" ca="1" si="1"/>
        <v>0</v>
      </c>
      <c r="B22">
        <f t="shared" ca="1" si="2"/>
        <v>1</v>
      </c>
      <c r="C22" t="str">
        <f t="shared" ca="1" si="3"/>
        <v>C</v>
      </c>
      <c r="D22" t="str">
        <f t="shared" ca="1" si="4"/>
        <v>15</v>
      </c>
      <c r="E22" t="str">
        <f t="shared" ca="1" si="5"/>
        <v>elec89</v>
      </c>
      <c r="F22" s="55" t="str">
        <f t="shared" si="6"/>
        <v>A 8</v>
      </c>
      <c r="G22" s="55">
        <f t="shared" ca="1" si="7"/>
        <v>38</v>
      </c>
      <c r="H22" s="55">
        <f t="shared" ca="1" si="8"/>
        <v>89</v>
      </c>
      <c r="I22" s="55">
        <f t="shared" ca="1" si="9"/>
        <v>89</v>
      </c>
      <c r="J22" s="55" t="str">
        <f t="shared" ca="1" si="0"/>
        <v>0,-1</v>
      </c>
      <c r="K22" s="55">
        <f t="shared" ca="1" si="10"/>
        <v>0</v>
      </c>
    </row>
    <row r="23" spans="1:11" x14ac:dyDescent="0.25">
      <c r="A23">
        <f t="shared" ca="1" si="1"/>
        <v>1</v>
      </c>
      <c r="B23">
        <f t="shared" ca="1" si="2"/>
        <v>9</v>
      </c>
      <c r="C23" t="str">
        <f t="shared" ca="1" si="3"/>
        <v>A</v>
      </c>
      <c r="D23" t="str">
        <f t="shared" ca="1" si="4"/>
        <v>2</v>
      </c>
      <c r="E23" t="str">
        <f t="shared" ca="1" si="5"/>
        <v>elec88</v>
      </c>
      <c r="F23" s="55" t="str">
        <f t="shared" si="6"/>
        <v>A 9</v>
      </c>
      <c r="G23" s="55">
        <f t="shared" ca="1" si="7"/>
        <v>47</v>
      </c>
      <c r="H23" s="55">
        <f t="shared" ca="1" si="8"/>
        <v>88</v>
      </c>
      <c r="I23" s="55">
        <f t="shared" ca="1" si="9"/>
        <v>88</v>
      </c>
      <c r="J23" s="55" t="str">
        <f t="shared" ca="1" si="0"/>
        <v>1,-9</v>
      </c>
      <c r="K23" s="55">
        <f t="shared" ca="1" si="10"/>
        <v>0</v>
      </c>
    </row>
    <row r="24" spans="1:11" x14ac:dyDescent="0.25">
      <c r="A24">
        <f t="shared" ca="1" si="1"/>
        <v>1</v>
      </c>
      <c r="B24">
        <f t="shared" ca="1" si="2"/>
        <v>8</v>
      </c>
      <c r="C24" t="str">
        <f t="shared" ca="1" si="3"/>
        <v>C</v>
      </c>
      <c r="D24" t="str">
        <f t="shared" ca="1" si="4"/>
        <v>2</v>
      </c>
      <c r="E24" t="str">
        <f t="shared" ca="1" si="5"/>
        <v>elec87</v>
      </c>
      <c r="F24" s="55" t="str">
        <f t="shared" si="6"/>
        <v>A 10</v>
      </c>
      <c r="G24" s="55">
        <f t="shared" ca="1" si="7"/>
        <v>28</v>
      </c>
      <c r="H24" s="55">
        <f t="shared" ca="1" si="8"/>
        <v>87</v>
      </c>
      <c r="I24" s="55">
        <f t="shared" ca="1" si="9"/>
        <v>87</v>
      </c>
      <c r="J24" s="55" t="str">
        <f t="shared" ca="1" si="0"/>
        <v>1,-8</v>
      </c>
      <c r="K24" s="55">
        <f t="shared" ca="1" si="10"/>
        <v>0</v>
      </c>
    </row>
    <row r="25" spans="1:11" x14ac:dyDescent="0.25">
      <c r="A25">
        <f t="shared" ca="1" si="1"/>
        <v>1</v>
      </c>
      <c r="B25">
        <f t="shared" ca="1" si="2"/>
        <v>7</v>
      </c>
      <c r="C25" t="str">
        <f t="shared" ca="1" si="3"/>
        <v>C</v>
      </c>
      <c r="D25" t="str">
        <f t="shared" ca="1" si="4"/>
        <v>4</v>
      </c>
      <c r="E25" t="str">
        <f t="shared" ca="1" si="5"/>
        <v>elec86</v>
      </c>
      <c r="F25" s="55" t="str">
        <f t="shared" si="6"/>
        <v>A 11</v>
      </c>
      <c r="G25" s="55">
        <f t="shared" ca="1" si="7"/>
        <v>37</v>
      </c>
      <c r="H25" s="55">
        <f t="shared" ca="1" si="8"/>
        <v>86</v>
      </c>
      <c r="I25" s="55">
        <f t="shared" ca="1" si="9"/>
        <v>86</v>
      </c>
      <c r="J25" s="55" t="str">
        <f t="shared" ca="1" si="0"/>
        <v>1,-7</v>
      </c>
      <c r="K25" s="55">
        <f t="shared" ca="1" si="10"/>
        <v>0</v>
      </c>
    </row>
    <row r="26" spans="1:11" x14ac:dyDescent="0.25">
      <c r="A26">
        <f t="shared" ca="1" si="1"/>
        <v>1</v>
      </c>
      <c r="B26">
        <f t="shared" ca="1" si="2"/>
        <v>6</v>
      </c>
      <c r="C26" t="str">
        <f t="shared" ca="1" si="3"/>
        <v>C</v>
      </c>
      <c r="D26" t="str">
        <f t="shared" ca="1" si="4"/>
        <v>6</v>
      </c>
      <c r="E26" t="str">
        <f t="shared" ca="1" si="5"/>
        <v>elec85</v>
      </c>
      <c r="F26" s="55" t="str">
        <f t="shared" si="6"/>
        <v>A 12</v>
      </c>
      <c r="G26" s="55">
        <f t="shared" ca="1" si="7"/>
        <v>27</v>
      </c>
      <c r="H26" s="55">
        <f t="shared" ca="1" si="8"/>
        <v>85</v>
      </c>
      <c r="I26" s="55">
        <f t="shared" ca="1" si="9"/>
        <v>85</v>
      </c>
      <c r="J26" s="55" t="str">
        <f t="shared" ca="1" si="0"/>
        <v>1,-6</v>
      </c>
      <c r="K26" s="55">
        <f t="shared" ca="1" si="10"/>
        <v>0</v>
      </c>
    </row>
    <row r="27" spans="1:11" x14ac:dyDescent="0.25">
      <c r="A27">
        <f t="shared" ca="1" si="1"/>
        <v>1</v>
      </c>
      <c r="B27">
        <f t="shared" ca="1" si="2"/>
        <v>5</v>
      </c>
      <c r="C27" t="str">
        <f t="shared" ca="1" si="3"/>
        <v>C</v>
      </c>
      <c r="D27" t="str">
        <f t="shared" ca="1" si="4"/>
        <v>8</v>
      </c>
      <c r="E27" t="str">
        <f t="shared" ca="1" si="5"/>
        <v>elec84</v>
      </c>
      <c r="F27" s="55" t="str">
        <f t="shared" si="6"/>
        <v>A 13</v>
      </c>
      <c r="G27" s="55">
        <f t="shared" ca="1" si="7"/>
        <v>36</v>
      </c>
      <c r="H27" s="55">
        <f t="shared" ca="1" si="8"/>
        <v>84</v>
      </c>
      <c r="I27" s="55">
        <f t="shared" ca="1" si="9"/>
        <v>84</v>
      </c>
      <c r="J27" s="55" t="str">
        <f t="shared" ca="1" si="0"/>
        <v>1,-5</v>
      </c>
      <c r="K27" s="55">
        <f t="shared" ca="1" si="10"/>
        <v>0</v>
      </c>
    </row>
    <row r="28" spans="1:11" x14ac:dyDescent="0.25">
      <c r="A28">
        <f t="shared" ca="1" si="1"/>
        <v>1</v>
      </c>
      <c r="B28">
        <f t="shared" ca="1" si="2"/>
        <v>4</v>
      </c>
      <c r="C28" t="str">
        <f t="shared" ca="1" si="3"/>
        <v>C</v>
      </c>
      <c r="D28" t="str">
        <f t="shared" ca="1" si="4"/>
        <v>10</v>
      </c>
      <c r="E28" t="str">
        <f t="shared" ca="1" si="5"/>
        <v>elec83</v>
      </c>
      <c r="F28" s="55" t="str">
        <f t="shared" si="6"/>
        <v>A 14</v>
      </c>
      <c r="G28" s="55">
        <f t="shared" ca="1" si="7"/>
        <v>18</v>
      </c>
      <c r="H28" s="55">
        <f t="shared" ca="1" si="8"/>
        <v>83</v>
      </c>
      <c r="I28" s="55">
        <f t="shared" ca="1" si="9"/>
        <v>83</v>
      </c>
      <c r="J28" s="55" t="str">
        <f t="shared" ca="1" si="0"/>
        <v>1,-4</v>
      </c>
      <c r="K28" s="55">
        <f t="shared" ca="1" si="10"/>
        <v>0</v>
      </c>
    </row>
    <row r="29" spans="1:11" x14ac:dyDescent="0.25">
      <c r="A29">
        <f t="shared" ca="1" si="1"/>
        <v>1</v>
      </c>
      <c r="B29">
        <f t="shared" ca="1" si="2"/>
        <v>3</v>
      </c>
      <c r="C29" t="str">
        <f t="shared" ca="1" si="3"/>
        <v>C</v>
      </c>
      <c r="D29" t="str">
        <f t="shared" ca="1" si="4"/>
        <v>12</v>
      </c>
      <c r="E29" t="str">
        <f t="shared" ca="1" si="5"/>
        <v>elec82</v>
      </c>
      <c r="F29" s="55" t="str">
        <f t="shared" si="6"/>
        <v>A 15</v>
      </c>
      <c r="G29" s="55">
        <f t="shared" ca="1" si="7"/>
        <v>45</v>
      </c>
      <c r="H29" s="55">
        <f t="shared" ca="1" si="8"/>
        <v>82</v>
      </c>
      <c r="I29" s="55">
        <f t="shared" ca="1" si="9"/>
        <v>82</v>
      </c>
      <c r="J29" s="55" t="str">
        <f t="shared" ca="1" si="0"/>
        <v>1,-3</v>
      </c>
      <c r="K29" s="55">
        <f t="shared" ca="1" si="10"/>
        <v>0</v>
      </c>
    </row>
    <row r="30" spans="1:11" x14ac:dyDescent="0.25">
      <c r="A30">
        <f t="shared" ca="1" si="1"/>
        <v>1</v>
      </c>
      <c r="B30">
        <f t="shared" ca="1" si="2"/>
        <v>2</v>
      </c>
      <c r="C30" t="str">
        <f t="shared" ca="1" si="3"/>
        <v>C</v>
      </c>
      <c r="D30" t="str">
        <f t="shared" ca="1" si="4"/>
        <v>14</v>
      </c>
      <c r="E30" t="str">
        <f t="shared" ca="1" si="5"/>
        <v>elec81</v>
      </c>
      <c r="F30" s="55" t="str">
        <f t="shared" si="6"/>
        <v>A 16</v>
      </c>
      <c r="G30" s="55">
        <f t="shared" ca="1" si="7"/>
        <v>17</v>
      </c>
      <c r="H30" s="55">
        <f t="shared" ca="1" si="8"/>
        <v>81</v>
      </c>
      <c r="I30" s="55">
        <f t="shared" ca="1" si="9"/>
        <v>81</v>
      </c>
      <c r="J30" s="55" t="str">
        <f t="shared" ca="1" si="0"/>
        <v>1,-2</v>
      </c>
      <c r="K30" s="55">
        <f t="shared" ca="1" si="10"/>
        <v>0</v>
      </c>
    </row>
    <row r="31" spans="1:11" x14ac:dyDescent="0.25">
      <c r="A31">
        <f t="shared" ca="1" si="1"/>
        <v>1</v>
      </c>
      <c r="B31">
        <f t="shared" ca="1" si="2"/>
        <v>1</v>
      </c>
      <c r="C31" t="str">
        <f t="shared" ca="1" si="3"/>
        <v>C</v>
      </c>
      <c r="D31" t="str">
        <f t="shared" ca="1" si="4"/>
        <v>16</v>
      </c>
      <c r="E31" t="str">
        <f t="shared" ca="1" si="5"/>
        <v>elec80</v>
      </c>
      <c r="F31" s="55" t="str">
        <f t="shared" si="6"/>
        <v>A 17</v>
      </c>
      <c r="G31" s="55">
        <f t="shared" ca="1" si="7"/>
        <v>46</v>
      </c>
      <c r="H31" s="55">
        <f t="shared" ca="1" si="8"/>
        <v>80</v>
      </c>
      <c r="I31" s="55">
        <f t="shared" ca="1" si="9"/>
        <v>80</v>
      </c>
      <c r="J31" s="55" t="str">
        <f t="shared" ca="1" si="0"/>
        <v>1,-1</v>
      </c>
      <c r="K31" s="55">
        <f t="shared" ca="1" si="10"/>
        <v>0</v>
      </c>
    </row>
    <row r="32" spans="1:11" x14ac:dyDescent="0.25">
      <c r="A32">
        <f t="shared" ca="1" si="1"/>
        <v>1</v>
      </c>
      <c r="B32">
        <f t="shared" ca="1" si="2"/>
        <v>0</v>
      </c>
      <c r="C32" t="str">
        <f t="shared" ca="1" si="3"/>
        <v>C</v>
      </c>
      <c r="D32" t="str">
        <f t="shared" ca="1" si="4"/>
        <v>17</v>
      </c>
      <c r="E32" t="str">
        <f t="shared" ca="1" si="5"/>
        <v>elec79</v>
      </c>
      <c r="F32" s="55" t="str">
        <f t="shared" si="6"/>
        <v>A 18</v>
      </c>
      <c r="G32" s="55">
        <f t="shared" ca="1" si="7"/>
        <v>8</v>
      </c>
      <c r="H32" s="55">
        <f t="shared" ca="1" si="8"/>
        <v>79</v>
      </c>
      <c r="I32" s="55">
        <f t="shared" ca="1" si="9"/>
        <v>79</v>
      </c>
      <c r="J32" s="55" t="str">
        <f t="shared" ca="1" si="0"/>
        <v>1,0</v>
      </c>
      <c r="K32" s="55">
        <f t="shared" ca="1" si="10"/>
        <v>0</v>
      </c>
    </row>
    <row r="33" spans="1:11" x14ac:dyDescent="0.25">
      <c r="A33">
        <f t="shared" ca="1" si="1"/>
        <v>2</v>
      </c>
      <c r="B33">
        <f t="shared" ca="1" si="2"/>
        <v>9</v>
      </c>
      <c r="C33" t="str">
        <f t="shared" ca="1" si="3"/>
        <v>A</v>
      </c>
      <c r="D33" t="str">
        <f t="shared" ca="1" si="4"/>
        <v>1</v>
      </c>
      <c r="E33" t="str">
        <f t="shared" ca="1" si="5"/>
        <v>elec78</v>
      </c>
      <c r="F33" s="55" t="str">
        <f t="shared" si="6"/>
        <v>A 19</v>
      </c>
      <c r="G33" s="55">
        <f t="shared" ca="1" si="7"/>
        <v>35</v>
      </c>
      <c r="H33" s="55">
        <f t="shared" ca="1" si="8"/>
        <v>78</v>
      </c>
      <c r="I33" s="55">
        <f t="shared" ca="1" si="9"/>
        <v>78</v>
      </c>
      <c r="J33" s="55" t="str">
        <f t="shared" ca="1" si="0"/>
        <v>2,-9</v>
      </c>
      <c r="K33" s="55">
        <f t="shared" ca="1" si="10"/>
        <v>0</v>
      </c>
    </row>
    <row r="34" spans="1:11" x14ac:dyDescent="0.25">
      <c r="A34">
        <f t="shared" ca="1" si="1"/>
        <v>2</v>
      </c>
      <c r="B34">
        <f t="shared" ca="1" si="2"/>
        <v>8</v>
      </c>
      <c r="C34" t="str">
        <f t="shared" ca="1" si="3"/>
        <v>B</v>
      </c>
      <c r="D34" t="str">
        <f t="shared" ca="1" si="4"/>
        <v>1</v>
      </c>
      <c r="E34" t="str">
        <f t="shared" ca="1" si="5"/>
        <v>elec77</v>
      </c>
      <c r="F34" s="55" t="str">
        <f t="shared" si="6"/>
        <v>A 20</v>
      </c>
      <c r="G34" s="55">
        <f t="shared" ca="1" si="7"/>
        <v>16</v>
      </c>
      <c r="H34" s="55">
        <f t="shared" ca="1" si="8"/>
        <v>77</v>
      </c>
      <c r="I34" s="55">
        <f t="shared" ca="1" si="9"/>
        <v>77</v>
      </c>
      <c r="J34" s="55" t="str">
        <f t="shared" ca="1" si="0"/>
        <v>2,-8</v>
      </c>
      <c r="K34" s="55">
        <f t="shared" ca="1" si="10"/>
        <v>0</v>
      </c>
    </row>
    <row r="35" spans="1:11" x14ac:dyDescent="0.25">
      <c r="A35">
        <f t="shared" ca="1" si="1"/>
        <v>2</v>
      </c>
      <c r="B35">
        <f t="shared" ca="1" si="2"/>
        <v>7</v>
      </c>
      <c r="C35" t="str">
        <f t="shared" ca="1" si="3"/>
        <v>B</v>
      </c>
      <c r="D35" t="str">
        <f t="shared" ca="1" si="4"/>
        <v>3</v>
      </c>
      <c r="E35" t="str">
        <f t="shared" ca="1" si="5"/>
        <v>elec76</v>
      </c>
      <c r="F35" s="55" t="str">
        <f t="shared" si="6"/>
        <v>A 21</v>
      </c>
      <c r="G35" s="55">
        <f t="shared" ca="1" si="7"/>
        <v>24</v>
      </c>
      <c r="H35" s="55">
        <f t="shared" ca="1" si="8"/>
        <v>76</v>
      </c>
      <c r="I35" s="55">
        <f t="shared" ca="1" si="9"/>
        <v>76</v>
      </c>
      <c r="J35" s="55" t="str">
        <f t="shared" ca="1" si="0"/>
        <v>2,-7</v>
      </c>
      <c r="K35" s="55">
        <f t="shared" ca="1" si="10"/>
        <v>0</v>
      </c>
    </row>
    <row r="36" spans="1:11" x14ac:dyDescent="0.25">
      <c r="A36">
        <f t="shared" ca="1" si="1"/>
        <v>2</v>
      </c>
      <c r="B36">
        <f t="shared" ca="1" si="2"/>
        <v>6</v>
      </c>
      <c r="C36" t="str">
        <f t="shared" ca="1" si="3"/>
        <v>B</v>
      </c>
      <c r="D36" t="str">
        <f t="shared" ca="1" si="4"/>
        <v>5</v>
      </c>
      <c r="E36" t="str">
        <f t="shared" ca="1" si="5"/>
        <v>elec75</v>
      </c>
      <c r="F36" s="55" t="str">
        <f t="shared" si="6"/>
        <v>A 22</v>
      </c>
      <c r="G36" s="55">
        <f t="shared" ca="1" si="7"/>
        <v>7</v>
      </c>
      <c r="H36" s="55">
        <f t="shared" ca="1" si="8"/>
        <v>75</v>
      </c>
      <c r="I36" s="55">
        <f t="shared" ca="1" si="9"/>
        <v>75</v>
      </c>
      <c r="J36" s="55" t="str">
        <f t="shared" ca="1" si="0"/>
        <v>2,-6</v>
      </c>
      <c r="K36" s="55">
        <f t="shared" ca="1" si="10"/>
        <v>0</v>
      </c>
    </row>
    <row r="37" spans="1:11" x14ac:dyDescent="0.25">
      <c r="A37">
        <f t="shared" ca="1" si="1"/>
        <v>2</v>
      </c>
      <c r="B37">
        <f t="shared" ca="1" si="2"/>
        <v>5</v>
      </c>
      <c r="C37" t="str">
        <f t="shared" ca="1" si="3"/>
        <v>B</v>
      </c>
      <c r="D37" t="str">
        <f t="shared" ca="1" si="4"/>
        <v>7</v>
      </c>
      <c r="E37" t="str">
        <f t="shared" ca="1" si="5"/>
        <v>elec74</v>
      </c>
      <c r="F37" s="55" t="str">
        <f t="shared" si="6"/>
        <v>A 23</v>
      </c>
      <c r="G37" s="55">
        <f t="shared" ca="1" si="7"/>
        <v>26</v>
      </c>
      <c r="H37" s="55">
        <f t="shared" ca="1" si="8"/>
        <v>74</v>
      </c>
      <c r="I37" s="55">
        <f t="shared" ca="1" si="9"/>
        <v>74</v>
      </c>
      <c r="J37" s="55" t="str">
        <f t="shared" ca="1" si="0"/>
        <v>2,-5</v>
      </c>
      <c r="K37" s="55">
        <f t="shared" ca="1" si="10"/>
        <v>0</v>
      </c>
    </row>
    <row r="38" spans="1:11" x14ac:dyDescent="0.25">
      <c r="A38">
        <f t="shared" ca="1" si="1"/>
        <v>2</v>
      </c>
      <c r="B38">
        <f t="shared" ca="1" si="2"/>
        <v>4</v>
      </c>
      <c r="C38" t="str">
        <f t="shared" ca="1" si="3"/>
        <v>B</v>
      </c>
      <c r="D38" t="str">
        <f t="shared" ca="1" si="4"/>
        <v>9</v>
      </c>
      <c r="E38" t="str">
        <f t="shared" ca="1" si="5"/>
        <v>elec73</v>
      </c>
      <c r="F38" s="55" t="str">
        <f t="shared" si="6"/>
        <v>A 24</v>
      </c>
      <c r="G38" s="55">
        <f t="shared" ca="1" si="7"/>
        <v>6</v>
      </c>
      <c r="H38" s="55">
        <f t="shared" ca="1" si="8"/>
        <v>73</v>
      </c>
      <c r="I38" s="55">
        <f t="shared" ca="1" si="9"/>
        <v>73</v>
      </c>
      <c r="J38" s="55" t="str">
        <f t="shared" ca="1" si="0"/>
        <v>2,-4</v>
      </c>
      <c r="K38" s="55">
        <f t="shared" ca="1" si="10"/>
        <v>0</v>
      </c>
    </row>
    <row r="39" spans="1:11" x14ac:dyDescent="0.25">
      <c r="A39">
        <f t="shared" ca="1" si="1"/>
        <v>2</v>
      </c>
      <c r="B39">
        <f t="shared" ca="1" si="2"/>
        <v>3</v>
      </c>
      <c r="C39" t="str">
        <f t="shared" ca="1" si="3"/>
        <v>B</v>
      </c>
      <c r="D39" t="str">
        <f t="shared" ca="1" si="4"/>
        <v>13</v>
      </c>
      <c r="E39" t="str">
        <f t="shared" ca="1" si="5"/>
        <v>elec72</v>
      </c>
      <c r="F39" s="55" t="str">
        <f t="shared" si="6"/>
        <v>A 25</v>
      </c>
      <c r="G39" s="55">
        <f t="shared" ca="1" si="7"/>
        <v>25</v>
      </c>
      <c r="H39" s="55">
        <f t="shared" ca="1" si="8"/>
        <v>72</v>
      </c>
      <c r="I39" s="55">
        <f t="shared" ca="1" si="9"/>
        <v>72</v>
      </c>
      <c r="J39" s="55" t="str">
        <f t="shared" ca="1" si="0"/>
        <v>2,-3</v>
      </c>
      <c r="K39" s="55">
        <f t="shared" ca="1" si="10"/>
        <v>0</v>
      </c>
    </row>
    <row r="40" spans="1:11" x14ac:dyDescent="0.25">
      <c r="A40">
        <f t="shared" ca="1" si="1"/>
        <v>2</v>
      </c>
      <c r="B40">
        <f t="shared" ca="1" si="2"/>
        <v>2</v>
      </c>
      <c r="C40" t="str">
        <f t="shared" ca="1" si="3"/>
        <v>C</v>
      </c>
      <c r="D40" t="str">
        <f t="shared" ca="1" si="4"/>
        <v>18</v>
      </c>
      <c r="E40" t="str">
        <f t="shared" ca="1" si="5"/>
        <v>elec71</v>
      </c>
      <c r="F40" s="55" t="str">
        <f t="shared" si="6"/>
        <v>A 26</v>
      </c>
      <c r="G40" s="55">
        <f t="shared" ca="1" si="7"/>
        <v>5</v>
      </c>
      <c r="H40" s="55">
        <f t="shared" ca="1" si="8"/>
        <v>71</v>
      </c>
      <c r="I40" s="55">
        <f t="shared" ca="1" si="9"/>
        <v>71</v>
      </c>
      <c r="J40" s="55" t="str">
        <f t="shared" ca="1" si="0"/>
        <v>2,-2</v>
      </c>
      <c r="K40" s="55">
        <f t="shared" ca="1" si="10"/>
        <v>0</v>
      </c>
    </row>
    <row r="41" spans="1:11" x14ac:dyDescent="0.25">
      <c r="A41">
        <f t="shared" ca="1" si="1"/>
        <v>2</v>
      </c>
      <c r="B41">
        <f t="shared" ca="1" si="2"/>
        <v>1</v>
      </c>
      <c r="C41" t="str">
        <f t="shared" ca="1" si="3"/>
        <v>C</v>
      </c>
      <c r="D41" t="str">
        <f t="shared" ca="1" si="4"/>
        <v>20</v>
      </c>
      <c r="E41" t="str">
        <f t="shared" ca="1" si="5"/>
        <v>elec70</v>
      </c>
      <c r="F41" s="55" t="str">
        <f t="shared" si="6"/>
        <v>A 27</v>
      </c>
      <c r="G41" s="55">
        <f t="shared" ca="1" si="7"/>
        <v>15</v>
      </c>
      <c r="H41" s="55">
        <f t="shared" ca="1" si="8"/>
        <v>70</v>
      </c>
      <c r="I41" s="55">
        <f t="shared" ca="1" si="9"/>
        <v>70</v>
      </c>
      <c r="J41" s="55" t="str">
        <f t="shared" ca="1" si="0"/>
        <v>2,-1</v>
      </c>
      <c r="K41" s="55">
        <f t="shared" ca="1" si="10"/>
        <v>0</v>
      </c>
    </row>
    <row r="42" spans="1:11" x14ac:dyDescent="0.25">
      <c r="A42">
        <f t="shared" ca="1" si="1"/>
        <v>2</v>
      </c>
      <c r="B42">
        <f t="shared" ca="1" si="2"/>
        <v>0</v>
      </c>
      <c r="C42" t="str">
        <f t="shared" ca="1" si="3"/>
        <v>C</v>
      </c>
      <c r="D42" t="str">
        <f t="shared" ca="1" si="4"/>
        <v>19</v>
      </c>
      <c r="E42" t="str">
        <f t="shared" ca="1" si="5"/>
        <v>elec69</v>
      </c>
      <c r="F42" s="55" t="str">
        <f t="shared" si="6"/>
        <v>A 28</v>
      </c>
      <c r="G42" s="55">
        <f t="shared" ca="1" si="7"/>
        <v>4</v>
      </c>
      <c r="H42" s="55">
        <f t="shared" ca="1" si="8"/>
        <v>69</v>
      </c>
      <c r="I42" s="55">
        <f t="shared" ca="1" si="9"/>
        <v>69</v>
      </c>
      <c r="J42" s="55" t="str">
        <f t="shared" ca="1" si="0"/>
        <v>2,0</v>
      </c>
      <c r="K42" s="55">
        <f t="shared" ca="1" si="10"/>
        <v>0</v>
      </c>
    </row>
    <row r="43" spans="1:11" x14ac:dyDescent="0.25">
      <c r="A43">
        <f t="shared" ca="1" si="1"/>
        <v>3</v>
      </c>
      <c r="B43">
        <f t="shared" ca="1" si="2"/>
        <v>9</v>
      </c>
      <c r="C43" t="str">
        <f t="shared" ca="1" si="3"/>
        <v>A</v>
      </c>
      <c r="D43" t="str">
        <f t="shared" ca="1" si="4"/>
        <v>3</v>
      </c>
      <c r="E43" t="str">
        <f t="shared" ca="1" si="5"/>
        <v>elec68</v>
      </c>
      <c r="F43" s="55" t="str">
        <f t="shared" si="6"/>
        <v>A 29</v>
      </c>
      <c r="G43" s="55">
        <f t="shared" ca="1" si="7"/>
        <v>14</v>
      </c>
      <c r="H43" s="55">
        <f t="shared" ca="1" si="8"/>
        <v>68</v>
      </c>
      <c r="I43" s="55">
        <f t="shared" ca="1" si="9"/>
        <v>68</v>
      </c>
      <c r="J43" s="55" t="str">
        <f t="shared" ca="1" si="0"/>
        <v>3,-9</v>
      </c>
      <c r="K43" s="55">
        <f t="shared" ca="1" si="10"/>
        <v>0</v>
      </c>
    </row>
    <row r="44" spans="1:11" x14ac:dyDescent="0.25">
      <c r="A44">
        <f t="shared" ca="1" si="1"/>
        <v>3</v>
      </c>
      <c r="B44">
        <f t="shared" ca="1" si="2"/>
        <v>8</v>
      </c>
      <c r="C44" t="str">
        <f t="shared" ca="1" si="3"/>
        <v>B</v>
      </c>
      <c r="D44" t="str">
        <f t="shared" ca="1" si="4"/>
        <v>2</v>
      </c>
      <c r="E44" t="str">
        <f t="shared" ca="1" si="5"/>
        <v>elec67</v>
      </c>
      <c r="F44" s="55" t="str">
        <f t="shared" si="6"/>
        <v>A 30</v>
      </c>
      <c r="G44" s="55">
        <f t="shared" ca="1" si="7"/>
        <v>3</v>
      </c>
      <c r="H44" s="55">
        <f t="shared" ca="1" si="8"/>
        <v>67</v>
      </c>
      <c r="I44" s="55">
        <f t="shared" ca="1" si="9"/>
        <v>67</v>
      </c>
      <c r="J44" s="55" t="str">
        <f t="shared" ca="1" si="0"/>
        <v>3,-8</v>
      </c>
      <c r="K44" s="55">
        <f t="shared" ca="1" si="10"/>
        <v>0</v>
      </c>
    </row>
    <row r="45" spans="1:11" x14ac:dyDescent="0.25">
      <c r="A45">
        <f t="shared" ca="1" si="1"/>
        <v>3</v>
      </c>
      <c r="B45">
        <f t="shared" ca="1" si="2"/>
        <v>7</v>
      </c>
      <c r="C45" t="str">
        <f t="shared" ca="1" si="3"/>
        <v>B</v>
      </c>
      <c r="D45" t="str">
        <f t="shared" ca="1" si="4"/>
        <v>4</v>
      </c>
      <c r="E45" t="str">
        <f t="shared" ca="1" si="5"/>
        <v>elec66</v>
      </c>
      <c r="F45" s="55" t="str">
        <f t="shared" si="6"/>
        <v>A 31</v>
      </c>
      <c r="G45" s="55">
        <f t="shared" ca="1" si="7"/>
        <v>13</v>
      </c>
      <c r="H45" s="55">
        <f t="shared" ca="1" si="8"/>
        <v>66</v>
      </c>
      <c r="I45" s="55">
        <f t="shared" ca="1" si="9"/>
        <v>66</v>
      </c>
      <c r="J45" s="55" t="str">
        <f t="shared" ca="1" si="0"/>
        <v>3,-7</v>
      </c>
      <c r="K45" s="55">
        <f t="shared" ca="1" si="10"/>
        <v>0</v>
      </c>
    </row>
    <row r="46" spans="1:11" x14ac:dyDescent="0.25">
      <c r="A46">
        <f t="shared" ca="1" si="1"/>
        <v>3</v>
      </c>
      <c r="B46">
        <f t="shared" ca="1" si="2"/>
        <v>6</v>
      </c>
      <c r="C46" t="str">
        <f t="shared" ca="1" si="3"/>
        <v>B</v>
      </c>
      <c r="D46" t="str">
        <f t="shared" ca="1" si="4"/>
        <v>6</v>
      </c>
      <c r="E46" t="str">
        <f t="shared" ca="1" si="5"/>
        <v>elec65</v>
      </c>
      <c r="F46" s="55" t="str">
        <f t="shared" si="6"/>
        <v>A 32</v>
      </c>
      <c r="G46" s="55">
        <f t="shared" ca="1" si="7"/>
        <v>2</v>
      </c>
      <c r="H46" s="55">
        <f t="shared" ca="1" si="8"/>
        <v>65</v>
      </c>
      <c r="I46" s="55">
        <f t="shared" ca="1" si="9"/>
        <v>65</v>
      </c>
      <c r="J46" s="55" t="str">
        <f t="shared" ca="1" si="0"/>
        <v>3,-6</v>
      </c>
      <c r="K46" s="55">
        <f t="shared" ca="1" si="10"/>
        <v>0</v>
      </c>
    </row>
    <row r="47" spans="1:11" x14ac:dyDescent="0.25">
      <c r="A47">
        <f t="shared" ca="1" si="1"/>
        <v>3</v>
      </c>
      <c r="B47">
        <f t="shared" ca="1" si="2"/>
        <v>5</v>
      </c>
      <c r="C47" t="str">
        <f t="shared" ca="1" si="3"/>
        <v>B</v>
      </c>
      <c r="D47" t="str">
        <f t="shared" ca="1" si="4"/>
        <v>8</v>
      </c>
      <c r="E47" t="str">
        <f t="shared" ca="1" si="5"/>
        <v>elec64</v>
      </c>
      <c r="F47" s="55" t="s">
        <v>28</v>
      </c>
      <c r="G47" s="55">
        <f t="shared" ca="1" si="7"/>
        <v>77</v>
      </c>
      <c r="H47" s="55">
        <f t="shared" ca="1" si="8"/>
        <v>64</v>
      </c>
      <c r="I47" s="55">
        <f t="shared" ca="1" si="9"/>
        <v>64</v>
      </c>
      <c r="J47" s="55" t="str">
        <f t="shared" ref="J47:J78" ca="1" si="11">IF(H47=0,0,TableSearch(H47,arrayspace,$G$3,$F$3))</f>
        <v>3,-5</v>
      </c>
      <c r="K47" s="55">
        <f t="shared" ca="1" si="10"/>
        <v>0</v>
      </c>
    </row>
    <row r="48" spans="1:11" x14ac:dyDescent="0.25">
      <c r="A48">
        <f t="shared" ca="1" si="1"/>
        <v>3</v>
      </c>
      <c r="B48">
        <f t="shared" ca="1" si="2"/>
        <v>4</v>
      </c>
      <c r="C48" t="str">
        <f t="shared" ca="1" si="3"/>
        <v>B</v>
      </c>
      <c r="D48" t="str">
        <f t="shared" ca="1" si="4"/>
        <v>11</v>
      </c>
      <c r="E48" t="str">
        <f t="shared" ca="1" si="5"/>
        <v>elec63</v>
      </c>
      <c r="F48" s="55" t="str">
        <f t="shared" si="6"/>
        <v>B 2</v>
      </c>
      <c r="G48" s="55">
        <f t="shared" ca="1" si="7"/>
        <v>67</v>
      </c>
      <c r="H48" s="55">
        <f t="shared" ref="H48:H79" ca="1" si="12">IF(H47=0,0,MAX(INDIRECT("i"&amp;MATCH(H47,I:I,)+1&amp;":i142")))</f>
        <v>63</v>
      </c>
      <c r="I48" s="55">
        <f t="shared" ca="1" si="9"/>
        <v>63</v>
      </c>
      <c r="J48" s="55" t="str">
        <f t="shared" ca="1" si="11"/>
        <v>3,-4</v>
      </c>
      <c r="K48" s="55">
        <f t="shared" ca="1" si="10"/>
        <v>0</v>
      </c>
    </row>
    <row r="49" spans="1:11" x14ac:dyDescent="0.25">
      <c r="A49">
        <f t="shared" ca="1" si="1"/>
        <v>3</v>
      </c>
      <c r="B49">
        <f t="shared" ca="1" si="2"/>
        <v>3</v>
      </c>
      <c r="C49" t="str">
        <f t="shared" ca="1" si="3"/>
        <v>B</v>
      </c>
      <c r="D49" t="str">
        <f t="shared" ca="1" si="4"/>
        <v>15</v>
      </c>
      <c r="E49" t="str">
        <f t="shared" ca="1" si="5"/>
        <v>elec62</v>
      </c>
      <c r="F49" s="55" t="str">
        <f t="shared" si="6"/>
        <v>B 3</v>
      </c>
      <c r="G49" s="55">
        <f t="shared" ca="1" si="7"/>
        <v>76</v>
      </c>
      <c r="H49" s="55">
        <f t="shared" ca="1" si="12"/>
        <v>62</v>
      </c>
      <c r="I49" s="55">
        <f t="shared" ca="1" si="9"/>
        <v>62</v>
      </c>
      <c r="J49" s="55" t="str">
        <f t="shared" ca="1" si="11"/>
        <v>3,-3</v>
      </c>
      <c r="K49" s="55">
        <f t="shared" ca="1" si="10"/>
        <v>0</v>
      </c>
    </row>
    <row r="50" spans="1:11" x14ac:dyDescent="0.25">
      <c r="A50">
        <f t="shared" ca="1" si="1"/>
        <v>3</v>
      </c>
      <c r="B50">
        <f t="shared" ca="1" si="2"/>
        <v>2</v>
      </c>
      <c r="C50" t="str">
        <f t="shared" ca="1" si="3"/>
        <v>B</v>
      </c>
      <c r="D50" t="str">
        <f t="shared" ca="1" si="4"/>
        <v>17</v>
      </c>
      <c r="E50" t="str">
        <f t="shared" ca="1" si="5"/>
        <v>elec61</v>
      </c>
      <c r="F50" s="55" t="str">
        <f t="shared" si="6"/>
        <v>B 4</v>
      </c>
      <c r="G50" s="55">
        <f t="shared" ca="1" si="7"/>
        <v>66</v>
      </c>
      <c r="H50" s="55">
        <f t="shared" ca="1" si="12"/>
        <v>61</v>
      </c>
      <c r="I50" s="55">
        <f t="shared" ca="1" si="9"/>
        <v>61</v>
      </c>
      <c r="J50" s="55" t="str">
        <f t="shared" ca="1" si="11"/>
        <v>3,-2</v>
      </c>
      <c r="K50" s="55">
        <f t="shared" ca="1" si="10"/>
        <v>0</v>
      </c>
    </row>
    <row r="51" spans="1:11" x14ac:dyDescent="0.25">
      <c r="A51">
        <f t="shared" ca="1" si="1"/>
        <v>3</v>
      </c>
      <c r="B51">
        <f t="shared" ca="1" si="2"/>
        <v>1</v>
      </c>
      <c r="C51" t="str">
        <f t="shared" ca="1" si="3"/>
        <v>C</v>
      </c>
      <c r="D51" t="str">
        <f t="shared" ca="1" si="4"/>
        <v>22</v>
      </c>
      <c r="E51" t="str">
        <f t="shared" ca="1" si="5"/>
        <v>elec60</v>
      </c>
      <c r="F51" s="55" t="str">
        <f t="shared" si="6"/>
        <v>B 5</v>
      </c>
      <c r="G51" s="55">
        <f t="shared" ca="1" si="7"/>
        <v>75</v>
      </c>
      <c r="H51" s="55">
        <f t="shared" ca="1" si="12"/>
        <v>60</v>
      </c>
      <c r="I51" s="55">
        <f t="shared" ca="1" si="9"/>
        <v>60</v>
      </c>
      <c r="J51" s="55" t="str">
        <f t="shared" ca="1" si="11"/>
        <v>3,-1</v>
      </c>
      <c r="K51" s="55">
        <f t="shared" ca="1" si="10"/>
        <v>0</v>
      </c>
    </row>
    <row r="52" spans="1:11" x14ac:dyDescent="0.25">
      <c r="A52">
        <f t="shared" ca="1" si="1"/>
        <v>3</v>
      </c>
      <c r="B52">
        <f t="shared" ca="1" si="2"/>
        <v>0</v>
      </c>
      <c r="C52" t="str">
        <f t="shared" ca="1" si="3"/>
        <v>C</v>
      </c>
      <c r="D52" t="str">
        <f t="shared" ca="1" si="4"/>
        <v>21</v>
      </c>
      <c r="E52" t="str">
        <f t="shared" ca="1" si="5"/>
        <v>elec59</v>
      </c>
      <c r="F52" s="55" t="str">
        <f t="shared" ref="F52:F87" si="13">LEFT(F51,1)&amp;" "&amp;VALUE(MID(F51,3,2))+1</f>
        <v>B 6</v>
      </c>
      <c r="G52" s="55">
        <f t="shared" ca="1" si="7"/>
        <v>65</v>
      </c>
      <c r="H52" s="55">
        <f t="shared" ca="1" si="12"/>
        <v>59</v>
      </c>
      <c r="I52" s="55">
        <f t="shared" ca="1" si="9"/>
        <v>59</v>
      </c>
      <c r="J52" s="55" t="str">
        <f t="shared" ca="1" si="11"/>
        <v>3,0</v>
      </c>
      <c r="K52" s="55">
        <f t="shared" ca="1" si="10"/>
        <v>0</v>
      </c>
    </row>
    <row r="53" spans="1:11" x14ac:dyDescent="0.25">
      <c r="A53">
        <f t="shared" ca="1" si="1"/>
        <v>4</v>
      </c>
      <c r="B53">
        <f t="shared" ca="1" si="2"/>
        <v>9</v>
      </c>
      <c r="C53" t="str">
        <f t="shared" ca="1" si="3"/>
        <v>A</v>
      </c>
      <c r="D53" t="str">
        <f t="shared" ca="1" si="4"/>
        <v>4</v>
      </c>
      <c r="E53" t="str">
        <f t="shared" ca="1" si="5"/>
        <v>elec58</v>
      </c>
      <c r="F53" s="55" t="str">
        <f t="shared" si="13"/>
        <v>B 7</v>
      </c>
      <c r="G53" s="55">
        <f t="shared" ca="1" si="7"/>
        <v>74</v>
      </c>
      <c r="H53" s="55">
        <f t="shared" ca="1" si="12"/>
        <v>58</v>
      </c>
      <c r="I53" s="55">
        <f t="shared" ca="1" si="9"/>
        <v>58</v>
      </c>
      <c r="J53" s="55" t="str">
        <f t="shared" ca="1" si="11"/>
        <v>4,-9</v>
      </c>
      <c r="K53" s="55">
        <f t="shared" ca="1" si="10"/>
        <v>0</v>
      </c>
    </row>
    <row r="54" spans="1:11" x14ac:dyDescent="0.25">
      <c r="A54">
        <f t="shared" ca="1" si="1"/>
        <v>4</v>
      </c>
      <c r="B54">
        <f t="shared" ca="1" si="2"/>
        <v>8</v>
      </c>
      <c r="C54" t="str">
        <f t="shared" ca="1" si="3"/>
        <v>A</v>
      </c>
      <c r="D54" t="str">
        <f t="shared" ca="1" si="4"/>
        <v>7</v>
      </c>
      <c r="E54" t="str">
        <f t="shared" ca="1" si="5"/>
        <v>elec57</v>
      </c>
      <c r="F54" s="55" t="str">
        <f t="shared" si="13"/>
        <v>B 8</v>
      </c>
      <c r="G54" s="55">
        <f t="shared" ca="1" si="7"/>
        <v>64</v>
      </c>
      <c r="H54" s="55">
        <f t="shared" ca="1" si="12"/>
        <v>57</v>
      </c>
      <c r="I54" s="55">
        <f t="shared" ca="1" si="9"/>
        <v>57</v>
      </c>
      <c r="J54" s="55" t="str">
        <f t="shared" ca="1" si="11"/>
        <v>4,-8</v>
      </c>
      <c r="K54" s="55">
        <f t="shared" ca="1" si="10"/>
        <v>0</v>
      </c>
    </row>
    <row r="55" spans="1:11" x14ac:dyDescent="0.25">
      <c r="A55">
        <f t="shared" ca="1" si="1"/>
        <v>4</v>
      </c>
      <c r="B55">
        <f t="shared" ca="1" si="2"/>
        <v>7</v>
      </c>
      <c r="C55" t="str">
        <f t="shared" ca="1" si="3"/>
        <v>A</v>
      </c>
      <c r="D55" t="str">
        <f t="shared" ca="1" si="4"/>
        <v>5</v>
      </c>
      <c r="E55" t="str">
        <f t="shared" ca="1" si="5"/>
        <v>elec56</v>
      </c>
      <c r="F55" s="55" t="str">
        <f t="shared" si="13"/>
        <v>B 9</v>
      </c>
      <c r="G55" s="55">
        <f t="shared" ca="1" si="7"/>
        <v>73</v>
      </c>
      <c r="H55" s="55">
        <f t="shared" ca="1" si="12"/>
        <v>56</v>
      </c>
      <c r="I55" s="55">
        <f t="shared" ca="1" si="9"/>
        <v>56</v>
      </c>
      <c r="J55" s="55" t="str">
        <f t="shared" ca="1" si="11"/>
        <v>4,-7</v>
      </c>
      <c r="K55" s="55">
        <f t="shared" ca="1" si="10"/>
        <v>0</v>
      </c>
    </row>
    <row r="56" spans="1:11" x14ac:dyDescent="0.25">
      <c r="A56">
        <f t="shared" ca="1" si="1"/>
        <v>4</v>
      </c>
      <c r="B56">
        <f t="shared" ca="1" si="2"/>
        <v>6</v>
      </c>
      <c r="C56" t="str">
        <f t="shared" ca="1" si="3"/>
        <v>B</v>
      </c>
      <c r="D56" t="str">
        <f t="shared" ca="1" si="4"/>
        <v>16</v>
      </c>
      <c r="E56" t="str">
        <f t="shared" ca="1" si="5"/>
        <v>elec55</v>
      </c>
      <c r="F56" s="55" t="str">
        <f t="shared" si="13"/>
        <v>B 10</v>
      </c>
      <c r="G56" s="55">
        <f t="shared" ca="1" si="7"/>
        <v>54</v>
      </c>
      <c r="H56" s="55">
        <f t="shared" ca="1" si="12"/>
        <v>55</v>
      </c>
      <c r="I56" s="55">
        <f t="shared" ca="1" si="9"/>
        <v>55</v>
      </c>
      <c r="J56" s="55" t="str">
        <f t="shared" ca="1" si="11"/>
        <v>4,-6</v>
      </c>
      <c r="K56" s="55">
        <f t="shared" ca="1" si="10"/>
        <v>0</v>
      </c>
    </row>
    <row r="57" spans="1:11" x14ac:dyDescent="0.25">
      <c r="A57">
        <f t="shared" ca="1" si="1"/>
        <v>4</v>
      </c>
      <c r="B57">
        <f t="shared" ca="1" si="2"/>
        <v>5</v>
      </c>
      <c r="C57" t="str">
        <f t="shared" ca="1" si="3"/>
        <v>B</v>
      </c>
      <c r="D57" t="str">
        <f t="shared" ca="1" si="4"/>
        <v>10</v>
      </c>
      <c r="E57" t="str">
        <f t="shared" ca="1" si="5"/>
        <v>elec54</v>
      </c>
      <c r="F57" s="55" t="str">
        <f t="shared" si="13"/>
        <v>B 11</v>
      </c>
      <c r="G57" s="55">
        <f t="shared" ca="1" si="7"/>
        <v>63</v>
      </c>
      <c r="H57" s="55">
        <f t="shared" ca="1" si="12"/>
        <v>54</v>
      </c>
      <c r="I57" s="55">
        <f t="shared" ca="1" si="9"/>
        <v>54</v>
      </c>
      <c r="J57" s="55" t="str">
        <f t="shared" ca="1" si="11"/>
        <v>4,-5</v>
      </c>
      <c r="K57" s="55">
        <f t="shared" ca="1" si="10"/>
        <v>0</v>
      </c>
    </row>
    <row r="58" spans="1:11" x14ac:dyDescent="0.25">
      <c r="A58">
        <f t="shared" ca="1" si="1"/>
        <v>4</v>
      </c>
      <c r="B58">
        <f t="shared" ca="1" si="2"/>
        <v>4</v>
      </c>
      <c r="C58" t="str">
        <f t="shared" ca="1" si="3"/>
        <v>B</v>
      </c>
      <c r="D58" t="str">
        <f t="shared" ca="1" si="4"/>
        <v>12</v>
      </c>
      <c r="E58" t="str">
        <f t="shared" ca="1" si="5"/>
        <v>elec53</v>
      </c>
      <c r="F58" s="55" t="str">
        <f t="shared" si="13"/>
        <v>B 12</v>
      </c>
      <c r="G58" s="55">
        <f t="shared" ca="1" si="7"/>
        <v>53</v>
      </c>
      <c r="H58" s="55">
        <f t="shared" ca="1" si="12"/>
        <v>53</v>
      </c>
      <c r="I58" s="55">
        <f t="shared" ca="1" si="9"/>
        <v>53</v>
      </c>
      <c r="J58" s="55" t="str">
        <f t="shared" ca="1" si="11"/>
        <v>4,-4</v>
      </c>
      <c r="K58" s="55">
        <f t="shared" ca="1" si="10"/>
        <v>0</v>
      </c>
    </row>
    <row r="59" spans="1:11" x14ac:dyDescent="0.25">
      <c r="A59">
        <f t="shared" ca="1" si="1"/>
        <v>4</v>
      </c>
      <c r="B59">
        <f t="shared" ca="1" si="2"/>
        <v>3</v>
      </c>
      <c r="C59" t="str">
        <f t="shared" ca="1" si="3"/>
        <v>B</v>
      </c>
      <c r="D59" t="str">
        <f t="shared" ca="1" si="4"/>
        <v>19</v>
      </c>
      <c r="E59" t="str">
        <f t="shared" ca="1" si="5"/>
        <v>elec52</v>
      </c>
      <c r="F59" s="55" t="str">
        <f t="shared" si="13"/>
        <v>B 13</v>
      </c>
      <c r="G59" s="55">
        <f t="shared" ca="1" si="7"/>
        <v>72</v>
      </c>
      <c r="H59" s="55">
        <f t="shared" ca="1" si="12"/>
        <v>52</v>
      </c>
      <c r="I59" s="55">
        <f t="shared" ca="1" si="9"/>
        <v>52</v>
      </c>
      <c r="J59" s="55" t="str">
        <f t="shared" ca="1" si="11"/>
        <v>4,-3</v>
      </c>
      <c r="K59" s="55">
        <f t="shared" ca="1" si="10"/>
        <v>0</v>
      </c>
    </row>
    <row r="60" spans="1:11" x14ac:dyDescent="0.25">
      <c r="A60">
        <f t="shared" ca="1" si="1"/>
        <v>4</v>
      </c>
      <c r="B60">
        <f t="shared" ca="1" si="2"/>
        <v>2</v>
      </c>
      <c r="C60" t="str">
        <f t="shared" ca="1" si="3"/>
        <v>B</v>
      </c>
      <c r="D60" t="str">
        <f t="shared" ca="1" si="4"/>
        <v>21</v>
      </c>
      <c r="E60" t="str">
        <f t="shared" ca="1" si="5"/>
        <v>elec51</v>
      </c>
      <c r="F60" s="55" t="str">
        <f t="shared" si="13"/>
        <v>B 14</v>
      </c>
      <c r="G60" s="55">
        <f t="shared" ca="1" si="7"/>
        <v>43</v>
      </c>
      <c r="H60" s="55">
        <f t="shared" ca="1" si="12"/>
        <v>51</v>
      </c>
      <c r="I60" s="55">
        <f t="shared" ca="1" si="9"/>
        <v>51</v>
      </c>
      <c r="J60" s="55" t="str">
        <f t="shared" ca="1" si="11"/>
        <v>4,-2</v>
      </c>
      <c r="K60" s="55">
        <f t="shared" ca="1" si="10"/>
        <v>0</v>
      </c>
    </row>
    <row r="61" spans="1:11" x14ac:dyDescent="0.25">
      <c r="A61">
        <f t="shared" ca="1" si="1"/>
        <v>4</v>
      </c>
      <c r="B61">
        <f t="shared" ca="1" si="2"/>
        <v>1</v>
      </c>
      <c r="C61" t="str">
        <f t="shared" ca="1" si="3"/>
        <v>C</v>
      </c>
      <c r="D61" t="str">
        <f t="shared" ca="1" si="4"/>
        <v>23</v>
      </c>
      <c r="E61" t="str">
        <f t="shared" ca="1" si="5"/>
        <v>elec50</v>
      </c>
      <c r="F61" s="55" t="str">
        <f t="shared" si="13"/>
        <v>B 15</v>
      </c>
      <c r="G61" s="55">
        <f t="shared" ca="1" si="7"/>
        <v>62</v>
      </c>
      <c r="H61" s="55">
        <f t="shared" ca="1" si="12"/>
        <v>50</v>
      </c>
      <c r="I61" s="55">
        <f t="shared" ca="1" si="9"/>
        <v>50</v>
      </c>
      <c r="J61" s="55" t="str">
        <f t="shared" ca="1" si="11"/>
        <v>4,-1</v>
      </c>
      <c r="K61" s="55">
        <f t="shared" ca="1" si="10"/>
        <v>0</v>
      </c>
    </row>
    <row r="62" spans="1:11" x14ac:dyDescent="0.25">
      <c r="A62">
        <f t="shared" ca="1" si="1"/>
        <v>4</v>
      </c>
      <c r="B62">
        <f t="shared" ca="1" si="2"/>
        <v>0</v>
      </c>
      <c r="C62" t="str">
        <f t="shared" ca="1" si="3"/>
        <v>C</v>
      </c>
      <c r="D62" t="str">
        <f t="shared" ca="1" si="4"/>
        <v>24</v>
      </c>
      <c r="E62" t="str">
        <f t="shared" ca="1" si="5"/>
        <v>elec49</v>
      </c>
      <c r="F62" s="55" t="str">
        <f t="shared" si="13"/>
        <v>B 16</v>
      </c>
      <c r="G62" s="55">
        <f t="shared" ca="1" si="7"/>
        <v>55</v>
      </c>
      <c r="H62" s="55">
        <f t="shared" ca="1" si="12"/>
        <v>49</v>
      </c>
      <c r="I62" s="55">
        <f t="shared" ca="1" si="9"/>
        <v>49</v>
      </c>
      <c r="J62" s="55" t="str">
        <f t="shared" ca="1" si="11"/>
        <v>4,0</v>
      </c>
      <c r="K62" s="55">
        <f t="shared" ca="1" si="10"/>
        <v>0</v>
      </c>
    </row>
    <row r="63" spans="1:11" x14ac:dyDescent="0.25">
      <c r="A63">
        <f t="shared" ca="1" si="1"/>
        <v>5</v>
      </c>
      <c r="B63">
        <f t="shared" ca="1" si="2"/>
        <v>9</v>
      </c>
      <c r="C63" t="str">
        <f t="shared" ca="1" si="3"/>
        <v>A</v>
      </c>
      <c r="D63" t="str">
        <f t="shared" ca="1" si="4"/>
        <v>6</v>
      </c>
      <c r="E63" t="str">
        <f t="shared" ca="1" si="5"/>
        <v>elec48</v>
      </c>
      <c r="F63" s="55" t="str">
        <f t="shared" si="13"/>
        <v>B 17</v>
      </c>
      <c r="G63" s="55">
        <f t="shared" ca="1" si="7"/>
        <v>61</v>
      </c>
      <c r="H63" s="55">
        <f t="shared" ca="1" si="12"/>
        <v>48</v>
      </c>
      <c r="I63" s="55">
        <f t="shared" ca="1" si="9"/>
        <v>48</v>
      </c>
      <c r="J63" s="55" t="str">
        <f t="shared" ca="1" si="11"/>
        <v>5,-9</v>
      </c>
      <c r="K63" s="55">
        <f t="shared" ca="1" si="10"/>
        <v>0</v>
      </c>
    </row>
    <row r="64" spans="1:11" x14ac:dyDescent="0.25">
      <c r="A64">
        <f t="shared" ca="1" si="1"/>
        <v>5</v>
      </c>
      <c r="B64">
        <f t="shared" ca="1" si="2"/>
        <v>8</v>
      </c>
      <c r="C64" t="str">
        <f t="shared" ca="1" si="3"/>
        <v>A</v>
      </c>
      <c r="D64" t="str">
        <f t="shared" ca="1" si="4"/>
        <v>9</v>
      </c>
      <c r="E64" t="str">
        <f t="shared" ca="1" si="5"/>
        <v>elec47</v>
      </c>
      <c r="F64" s="55" t="str">
        <f t="shared" si="13"/>
        <v>B 18</v>
      </c>
      <c r="G64" s="55">
        <f t="shared" ca="1" si="7"/>
        <v>44</v>
      </c>
      <c r="H64" s="55">
        <f t="shared" ca="1" si="12"/>
        <v>47</v>
      </c>
      <c r="I64" s="55">
        <f t="shared" ca="1" si="9"/>
        <v>47</v>
      </c>
      <c r="J64" s="55" t="str">
        <f t="shared" ca="1" si="11"/>
        <v>5,-8</v>
      </c>
      <c r="K64" s="55">
        <f t="shared" ca="1" si="10"/>
        <v>0</v>
      </c>
    </row>
    <row r="65" spans="1:11" x14ac:dyDescent="0.25">
      <c r="A65">
        <f t="shared" ca="1" si="1"/>
        <v>5</v>
      </c>
      <c r="B65">
        <f t="shared" ca="1" si="2"/>
        <v>7</v>
      </c>
      <c r="C65" t="str">
        <f t="shared" ca="1" si="3"/>
        <v>A</v>
      </c>
      <c r="D65" t="str">
        <f t="shared" ca="1" si="4"/>
        <v>17</v>
      </c>
      <c r="E65" t="str">
        <f t="shared" ca="1" si="5"/>
        <v>elec46</v>
      </c>
      <c r="F65" s="55" t="str">
        <f t="shared" si="13"/>
        <v>B 19</v>
      </c>
      <c r="G65" s="55">
        <f t="shared" ca="1" si="7"/>
        <v>52</v>
      </c>
      <c r="H65" s="55">
        <f t="shared" ca="1" si="12"/>
        <v>46</v>
      </c>
      <c r="I65" s="55">
        <f t="shared" ca="1" si="9"/>
        <v>46</v>
      </c>
      <c r="J65" s="55" t="str">
        <f t="shared" ca="1" si="11"/>
        <v>5,-7</v>
      </c>
      <c r="K65" s="55">
        <f t="shared" ca="1" si="10"/>
        <v>0</v>
      </c>
    </row>
    <row r="66" spans="1:11" x14ac:dyDescent="0.25">
      <c r="A66">
        <f t="shared" ca="1" si="1"/>
        <v>5</v>
      </c>
      <c r="B66">
        <f t="shared" ca="1" si="2"/>
        <v>6</v>
      </c>
      <c r="C66" t="str">
        <f t="shared" ca="1" si="3"/>
        <v>A</v>
      </c>
      <c r="D66" t="str">
        <f t="shared" ca="1" si="4"/>
        <v>15</v>
      </c>
      <c r="E66" t="str">
        <f t="shared" ca="1" si="5"/>
        <v>elec45</v>
      </c>
      <c r="F66" s="55" t="str">
        <f t="shared" si="13"/>
        <v>B 20</v>
      </c>
      <c r="G66" s="55">
        <f t="shared" ca="1" si="7"/>
        <v>33</v>
      </c>
      <c r="H66" s="55">
        <f t="shared" ca="1" si="12"/>
        <v>45</v>
      </c>
      <c r="I66" s="55">
        <f t="shared" ca="1" si="9"/>
        <v>45</v>
      </c>
      <c r="J66" s="55" t="str">
        <f t="shared" ca="1" si="11"/>
        <v>5,-6</v>
      </c>
      <c r="K66" s="55">
        <f t="shared" ca="1" si="10"/>
        <v>0</v>
      </c>
    </row>
    <row r="67" spans="1:11" x14ac:dyDescent="0.25">
      <c r="A67">
        <f t="shared" ca="1" si="1"/>
        <v>5</v>
      </c>
      <c r="B67">
        <f t="shared" ca="1" si="2"/>
        <v>5</v>
      </c>
      <c r="C67" t="str">
        <f t="shared" ca="1" si="3"/>
        <v>B</v>
      </c>
      <c r="D67" t="str">
        <f t="shared" ca="1" si="4"/>
        <v>18</v>
      </c>
      <c r="E67" t="str">
        <f t="shared" ca="1" si="5"/>
        <v>elec44</v>
      </c>
      <c r="F67" s="55" t="str">
        <f t="shared" si="13"/>
        <v>B 21</v>
      </c>
      <c r="G67" s="55">
        <f t="shared" ca="1" si="7"/>
        <v>51</v>
      </c>
      <c r="H67" s="55">
        <f t="shared" ca="1" si="12"/>
        <v>44</v>
      </c>
      <c r="I67" s="55">
        <f t="shared" ca="1" si="9"/>
        <v>44</v>
      </c>
      <c r="J67" s="55" t="str">
        <f t="shared" ca="1" si="11"/>
        <v>5,-5</v>
      </c>
      <c r="K67" s="55">
        <f t="shared" ca="1" si="10"/>
        <v>0</v>
      </c>
    </row>
    <row r="68" spans="1:11" x14ac:dyDescent="0.25">
      <c r="A68">
        <f t="shared" ca="1" si="1"/>
        <v>5</v>
      </c>
      <c r="B68">
        <f t="shared" ca="1" si="2"/>
        <v>4</v>
      </c>
      <c r="C68" t="str">
        <f t="shared" ca="1" si="3"/>
        <v>B</v>
      </c>
      <c r="D68" t="str">
        <f t="shared" ca="1" si="4"/>
        <v>14</v>
      </c>
      <c r="E68" t="str">
        <f t="shared" ca="1" si="5"/>
        <v>elec43</v>
      </c>
      <c r="F68" s="55" t="str">
        <f t="shared" si="13"/>
        <v>B 22</v>
      </c>
      <c r="G68" s="55">
        <f t="shared" ca="1" si="7"/>
        <v>34</v>
      </c>
      <c r="H68" s="55">
        <f t="shared" ca="1" si="12"/>
        <v>43</v>
      </c>
      <c r="I68" s="55">
        <f t="shared" ca="1" si="9"/>
        <v>43</v>
      </c>
      <c r="J68" s="55" t="str">
        <f t="shared" ca="1" si="11"/>
        <v>5,-4</v>
      </c>
      <c r="K68" s="55">
        <f t="shared" ca="1" si="10"/>
        <v>0</v>
      </c>
    </row>
    <row r="69" spans="1:11" x14ac:dyDescent="0.25">
      <c r="A69">
        <f t="shared" ca="1" si="1"/>
        <v>5</v>
      </c>
      <c r="B69">
        <f t="shared" ca="1" si="2"/>
        <v>3</v>
      </c>
      <c r="C69" t="str">
        <f t="shared" ca="1" si="3"/>
        <v>B</v>
      </c>
      <c r="D69" t="str">
        <f t="shared" ca="1" si="4"/>
        <v>24</v>
      </c>
      <c r="E69" t="str">
        <f t="shared" ca="1" si="5"/>
        <v>elec42</v>
      </c>
      <c r="F69" s="55" t="str">
        <f t="shared" si="13"/>
        <v>B 23</v>
      </c>
      <c r="G69" s="55">
        <f t="shared" ca="1" si="7"/>
        <v>41</v>
      </c>
      <c r="H69" s="55">
        <f t="shared" ca="1" si="12"/>
        <v>42</v>
      </c>
      <c r="I69" s="55">
        <f t="shared" ca="1" si="9"/>
        <v>42</v>
      </c>
      <c r="J69" s="55" t="str">
        <f t="shared" ca="1" si="11"/>
        <v>5,-3</v>
      </c>
      <c r="K69" s="55">
        <f t="shared" ca="1" si="10"/>
        <v>0</v>
      </c>
    </row>
    <row r="70" spans="1:11" x14ac:dyDescent="0.25">
      <c r="A70">
        <f t="shared" ca="1" si="1"/>
        <v>5</v>
      </c>
      <c r="B70">
        <f t="shared" ca="1" si="2"/>
        <v>2</v>
      </c>
      <c r="C70" t="str">
        <f t="shared" ca="1" si="3"/>
        <v>B</v>
      </c>
      <c r="D70" t="str">
        <f t="shared" ca="1" si="4"/>
        <v>23</v>
      </c>
      <c r="E70" t="str">
        <f t="shared" ca="1" si="5"/>
        <v>elec41</v>
      </c>
      <c r="F70" s="55" t="str">
        <f t="shared" si="13"/>
        <v>B 24</v>
      </c>
      <c r="G70" s="55">
        <f t="shared" ca="1" si="7"/>
        <v>42</v>
      </c>
      <c r="H70" s="55">
        <f t="shared" ca="1" si="12"/>
        <v>41</v>
      </c>
      <c r="I70" s="55">
        <f t="shared" ca="1" si="9"/>
        <v>41</v>
      </c>
      <c r="J70" s="55" t="str">
        <f t="shared" ca="1" si="11"/>
        <v>5,-2</v>
      </c>
      <c r="K70" s="55">
        <f t="shared" ca="1" si="10"/>
        <v>0</v>
      </c>
    </row>
    <row r="71" spans="1:11" x14ac:dyDescent="0.25">
      <c r="A71">
        <f t="shared" ca="1" si="1"/>
        <v>5</v>
      </c>
      <c r="B71">
        <f t="shared" ca="1" si="2"/>
        <v>1</v>
      </c>
      <c r="C71" t="str">
        <f t="shared" ca="1" si="3"/>
        <v>C</v>
      </c>
      <c r="D71" t="str">
        <f t="shared" ca="1" si="4"/>
        <v>25</v>
      </c>
      <c r="E71" t="str">
        <f t="shared" ca="1" si="5"/>
        <v>elec40</v>
      </c>
      <c r="F71" s="55" t="str">
        <f t="shared" si="13"/>
        <v>B 25</v>
      </c>
      <c r="G71" s="55">
        <f t="shared" ca="1" si="7"/>
        <v>31</v>
      </c>
      <c r="H71" s="55">
        <f t="shared" ca="1" si="12"/>
        <v>40</v>
      </c>
      <c r="I71" s="55">
        <f t="shared" ca="1" si="9"/>
        <v>40</v>
      </c>
      <c r="J71" s="55" t="str">
        <f t="shared" ca="1" si="11"/>
        <v>5,-1</v>
      </c>
      <c r="K71" s="55">
        <f t="shared" ca="1" si="10"/>
        <v>0</v>
      </c>
    </row>
    <row r="72" spans="1:11" x14ac:dyDescent="0.25">
      <c r="A72">
        <f t="shared" ca="1" si="1"/>
        <v>5</v>
      </c>
      <c r="B72">
        <f t="shared" ca="1" si="2"/>
        <v>0</v>
      </c>
      <c r="C72" t="str">
        <f t="shared" ca="1" si="3"/>
        <v>C</v>
      </c>
      <c r="D72" t="str">
        <f t="shared" ca="1" si="4"/>
        <v>26</v>
      </c>
      <c r="E72" t="str">
        <f t="shared" ca="1" si="5"/>
        <v>elec39</v>
      </c>
      <c r="F72" s="55" t="str">
        <f t="shared" si="13"/>
        <v>B 26</v>
      </c>
      <c r="G72" s="55">
        <f t="shared" ca="1" si="7"/>
        <v>32</v>
      </c>
      <c r="H72" s="55">
        <f t="shared" ca="1" si="12"/>
        <v>39</v>
      </c>
      <c r="I72" s="55">
        <f t="shared" ca="1" si="9"/>
        <v>39</v>
      </c>
      <c r="J72" s="55" t="str">
        <f t="shared" ca="1" si="11"/>
        <v>5,0</v>
      </c>
      <c r="K72" s="55">
        <f t="shared" ca="1" si="10"/>
        <v>0</v>
      </c>
    </row>
    <row r="73" spans="1:11" x14ac:dyDescent="0.25">
      <c r="A73">
        <f t="shared" ca="1" si="1"/>
        <v>6</v>
      </c>
      <c r="B73">
        <f t="shared" ca="1" si="2"/>
        <v>9</v>
      </c>
      <c r="C73" t="str">
        <f t="shared" ca="1" si="3"/>
        <v>A</v>
      </c>
      <c r="D73" t="str">
        <f t="shared" ca="1" si="4"/>
        <v>8</v>
      </c>
      <c r="E73" t="str">
        <f t="shared" ca="1" si="5"/>
        <v>elec38</v>
      </c>
      <c r="F73" s="55" t="str">
        <f t="shared" si="13"/>
        <v>B 27</v>
      </c>
      <c r="G73" s="55">
        <f t="shared" ca="1" si="7"/>
        <v>21</v>
      </c>
      <c r="H73" s="55">
        <f t="shared" ca="1" si="12"/>
        <v>38</v>
      </c>
      <c r="I73" s="55">
        <f t="shared" ca="1" si="9"/>
        <v>38</v>
      </c>
      <c r="J73" s="55" t="str">
        <f t="shared" ca="1" si="11"/>
        <v>6,-9</v>
      </c>
      <c r="K73" s="55">
        <f t="shared" ca="1" si="10"/>
        <v>0</v>
      </c>
    </row>
    <row r="74" spans="1:11" x14ac:dyDescent="0.25">
      <c r="A74">
        <f t="shared" ca="1" si="1"/>
        <v>6</v>
      </c>
      <c r="B74">
        <f t="shared" ca="1" si="2"/>
        <v>8</v>
      </c>
      <c r="C74" t="str">
        <f t="shared" ca="1" si="3"/>
        <v>A</v>
      </c>
      <c r="D74" t="str">
        <f t="shared" ca="1" si="4"/>
        <v>11</v>
      </c>
      <c r="E74" t="str">
        <f t="shared" ca="1" si="5"/>
        <v>elec37</v>
      </c>
      <c r="F74" s="55" t="str">
        <f t="shared" si="13"/>
        <v>B 28</v>
      </c>
      <c r="G74" s="55">
        <f t="shared" ca="1" si="7"/>
        <v>22</v>
      </c>
      <c r="H74" s="55">
        <f t="shared" ca="1" si="12"/>
        <v>37</v>
      </c>
      <c r="I74" s="55">
        <f t="shared" ca="1" si="9"/>
        <v>37</v>
      </c>
      <c r="J74" s="55" t="str">
        <f t="shared" ca="1" si="11"/>
        <v>6,-8</v>
      </c>
      <c r="K74" s="55">
        <f t="shared" ca="1" si="10"/>
        <v>0</v>
      </c>
    </row>
    <row r="75" spans="1:11" x14ac:dyDescent="0.25">
      <c r="A75">
        <f t="shared" ca="1" si="1"/>
        <v>6</v>
      </c>
      <c r="B75">
        <f t="shared" ca="1" si="2"/>
        <v>7</v>
      </c>
      <c r="C75" t="str">
        <f t="shared" ca="1" si="3"/>
        <v>A</v>
      </c>
      <c r="D75" t="str">
        <f t="shared" ca="1" si="4"/>
        <v>13</v>
      </c>
      <c r="E75" t="str">
        <f t="shared" ca="1" si="5"/>
        <v>elec36</v>
      </c>
      <c r="F75" s="55" t="str">
        <f t="shared" si="13"/>
        <v>B 29</v>
      </c>
      <c r="G75" s="55">
        <f t="shared" ca="1" si="7"/>
        <v>11</v>
      </c>
      <c r="H75" s="55">
        <f t="shared" ca="1" si="12"/>
        <v>36</v>
      </c>
      <c r="I75" s="55">
        <f t="shared" ca="1" si="9"/>
        <v>36</v>
      </c>
      <c r="J75" s="55" t="str">
        <f t="shared" ca="1" si="11"/>
        <v>6,-7</v>
      </c>
      <c r="K75" s="55">
        <f t="shared" ca="1" si="10"/>
        <v>0</v>
      </c>
    </row>
    <row r="76" spans="1:11" x14ac:dyDescent="0.25">
      <c r="A76">
        <f t="shared" ca="1" si="1"/>
        <v>6</v>
      </c>
      <c r="B76">
        <f t="shared" ca="1" si="2"/>
        <v>6</v>
      </c>
      <c r="C76" t="str">
        <f t="shared" ca="1" si="3"/>
        <v>A</v>
      </c>
      <c r="D76" t="str">
        <f t="shared" ca="1" si="4"/>
        <v>19</v>
      </c>
      <c r="E76" t="str">
        <f t="shared" ca="1" si="5"/>
        <v>elec35</v>
      </c>
      <c r="F76" s="55" t="str">
        <f t="shared" si="13"/>
        <v>B 30</v>
      </c>
      <c r="G76" s="55">
        <f t="shared" ca="1" si="7"/>
        <v>23</v>
      </c>
      <c r="H76" s="55">
        <f t="shared" ca="1" si="12"/>
        <v>35</v>
      </c>
      <c r="I76" s="55">
        <f t="shared" ca="1" si="9"/>
        <v>35</v>
      </c>
      <c r="J76" s="55" t="str">
        <f t="shared" ca="1" si="11"/>
        <v>6,-6</v>
      </c>
      <c r="K76" s="55">
        <f t="shared" ca="1" si="10"/>
        <v>0</v>
      </c>
    </row>
    <row r="77" spans="1:11" x14ac:dyDescent="0.25">
      <c r="A77">
        <f t="shared" ca="1" si="1"/>
        <v>6</v>
      </c>
      <c r="B77">
        <f t="shared" ca="1" si="2"/>
        <v>5</v>
      </c>
      <c r="C77" t="str">
        <f t="shared" ca="1" si="3"/>
        <v>B</v>
      </c>
      <c r="D77" t="str">
        <f t="shared" ca="1" si="4"/>
        <v>22</v>
      </c>
      <c r="E77" t="str">
        <f t="shared" ca="1" si="5"/>
        <v>elec34</v>
      </c>
      <c r="F77" s="55" t="str">
        <f t="shared" si="13"/>
        <v>B 31</v>
      </c>
      <c r="G77" s="55">
        <f t="shared" ca="1" si="7"/>
        <v>10</v>
      </c>
      <c r="H77" s="55">
        <f t="shared" ca="1" si="12"/>
        <v>34</v>
      </c>
      <c r="I77" s="55">
        <f t="shared" ca="1" si="9"/>
        <v>34</v>
      </c>
      <c r="J77" s="55" t="str">
        <f t="shared" ca="1" si="11"/>
        <v>6,-5</v>
      </c>
      <c r="K77" s="55">
        <f t="shared" ca="1" si="10"/>
        <v>0</v>
      </c>
    </row>
    <row r="78" spans="1:11" x14ac:dyDescent="0.25">
      <c r="A78">
        <f t="shared" ca="1" si="1"/>
        <v>6</v>
      </c>
      <c r="B78">
        <f t="shared" ca="1" si="2"/>
        <v>4</v>
      </c>
      <c r="C78" t="str">
        <f t="shared" ca="1" si="3"/>
        <v>B</v>
      </c>
      <c r="D78" t="str">
        <f t="shared" ca="1" si="4"/>
        <v>20</v>
      </c>
      <c r="E78" t="str">
        <f t="shared" ca="1" si="5"/>
        <v>elec33</v>
      </c>
      <c r="F78" s="55" t="str">
        <f t="shared" si="13"/>
        <v>B 32</v>
      </c>
      <c r="G78" s="55">
        <f t="shared" ca="1" si="7"/>
        <v>12</v>
      </c>
      <c r="H78" s="55">
        <f t="shared" ca="1" si="12"/>
        <v>33</v>
      </c>
      <c r="I78" s="55">
        <f t="shared" ca="1" si="9"/>
        <v>33</v>
      </c>
      <c r="J78" s="55" t="str">
        <f t="shared" ca="1" si="11"/>
        <v>6,-4</v>
      </c>
      <c r="K78" s="55">
        <f t="shared" ca="1" si="10"/>
        <v>0</v>
      </c>
    </row>
    <row r="79" spans="1:11" x14ac:dyDescent="0.25">
      <c r="A79">
        <f t="shared" ca="1" si="1"/>
        <v>6</v>
      </c>
      <c r="B79">
        <f t="shared" ca="1" si="2"/>
        <v>3</v>
      </c>
      <c r="C79" t="str">
        <f t="shared" ca="1" si="3"/>
        <v>B</v>
      </c>
      <c r="D79" t="str">
        <f t="shared" ca="1" si="4"/>
        <v>26</v>
      </c>
      <c r="E79" t="str">
        <f t="shared" ca="1" si="5"/>
        <v>elec32</v>
      </c>
      <c r="F79" s="55" t="s">
        <v>29</v>
      </c>
      <c r="G79" s="55">
        <f t="shared" ca="1" si="7"/>
        <v>96</v>
      </c>
      <c r="H79" s="55">
        <f t="shared" ca="1" si="12"/>
        <v>32</v>
      </c>
      <c r="I79" s="55">
        <f t="shared" ca="1" si="9"/>
        <v>32</v>
      </c>
      <c r="J79" s="55" t="str">
        <f t="shared" ref="J79:J110" ca="1" si="14">IF(H79=0,0,TableSearch(H79,arrayspace,$G$3,$F$3))</f>
        <v>6,-3</v>
      </c>
      <c r="K79" s="55">
        <f t="shared" ca="1" si="10"/>
        <v>0</v>
      </c>
    </row>
    <row r="80" spans="1:11" x14ac:dyDescent="0.25">
      <c r="A80">
        <f t="shared" ref="A80:A122" ca="1" si="15">IF(H80=0,"",VALUE(LEFT(J80,FIND(",",J80)-1)))</f>
        <v>6</v>
      </c>
      <c r="B80">
        <f t="shared" ref="B80:B122" ca="1" si="16">IF(H80=0,"",ABS(MID(J80,FIND(",",J80)+1,3)))</f>
        <v>2</v>
      </c>
      <c r="C80" t="str">
        <f t="shared" ref="C80:C142" ca="1" si="17">IF(A80="","",LEFT(IF(A80="","",INDEX($F$15:$G$142,MATCH(H80,$G$15:$G$142,0),1)),1))</f>
        <v>B</v>
      </c>
      <c r="D80" t="str">
        <f t="shared" ref="D80:D142" ca="1" si="18">IF(C80="","",TRIM(RIGHT(IF(C80="","",INDEX($F$15:$G$142,MATCH(H80,$G$15:$G$142,0),1)),2)))</f>
        <v>25</v>
      </c>
      <c r="E80" t="str">
        <f t="shared" ref="E80:E142" ca="1" si="19">IF(H80=0,"","elec"&amp;IF($H$3&gt;1,K80&amp;"-","")&amp;H80)</f>
        <v>elec31</v>
      </c>
      <c r="F80" s="55" t="str">
        <f t="shared" si="13"/>
        <v>C 2</v>
      </c>
      <c r="G80" s="55">
        <f t="shared" ref="G80:G142" ca="1" si="20">INDIRECT("'"&amp;$F$2&amp;"'!R"&amp;INT((VALUE(MID($F80,3,2))-1)/2)+$H$1&amp;"C"&amp;$G$1+CHOOSE(IF(LEFT($F80,1)="A",1,IF(LEFT($F80,1)="B",2,IF(LEFT($F80,1)="C",3,4))),1,7,12,17)+IF(MOD(VALUE(MID($F80,3,2)),2),0,3),0)</f>
        <v>87</v>
      </c>
      <c r="H80" s="55">
        <f t="shared" ref="H80:H111" ca="1" si="21">IF(H79=0,0,MAX(INDIRECT("i"&amp;MATCH(H79,I:I,)+1&amp;":i142")))</f>
        <v>31</v>
      </c>
      <c r="I80" s="55">
        <f t="shared" ca="1" si="9"/>
        <v>31</v>
      </c>
      <c r="J80" s="55" t="str">
        <f t="shared" ca="1" si="14"/>
        <v>6,-2</v>
      </c>
      <c r="K80" s="55">
        <f t="shared" ca="1" si="10"/>
        <v>0</v>
      </c>
    </row>
    <row r="81" spans="1:11" x14ac:dyDescent="0.25">
      <c r="A81">
        <f t="shared" ca="1" si="15"/>
        <v>6</v>
      </c>
      <c r="B81">
        <f t="shared" ca="1" si="16"/>
        <v>1</v>
      </c>
      <c r="C81" t="str">
        <f t="shared" ca="1" si="17"/>
        <v>C</v>
      </c>
      <c r="D81" t="str">
        <f t="shared" ca="1" si="18"/>
        <v>27</v>
      </c>
      <c r="E81" t="str">
        <f t="shared" ca="1" si="19"/>
        <v>elec30</v>
      </c>
      <c r="F81" s="55" t="str">
        <f t="shared" si="13"/>
        <v>C 3</v>
      </c>
      <c r="G81" s="55">
        <f t="shared" ca="1" si="20"/>
        <v>95</v>
      </c>
      <c r="H81" s="55">
        <f t="shared" ca="1" si="21"/>
        <v>30</v>
      </c>
      <c r="I81" s="55">
        <f t="shared" ref="I81:I142" ca="1" si="22">IF(ISNA(MATCH($I$15-(ROW()-15),$G$15:$G$142,0)),0,$I$15-(ROW()-15))</f>
        <v>30</v>
      </c>
      <c r="J81" s="55" t="str">
        <f t="shared" ca="1" si="14"/>
        <v>6,-1</v>
      </c>
      <c r="K81" s="55">
        <f t="shared" ref="K81:K142" ca="1" si="23">IF(H81=0,0,INDIRECT("'"&amp;$F$2&amp;"'!"&amp;$I$1&amp;(-B81+$F$3+10)))</f>
        <v>0</v>
      </c>
    </row>
    <row r="82" spans="1:11" x14ac:dyDescent="0.25">
      <c r="A82">
        <f t="shared" ca="1" si="15"/>
        <v>6</v>
      </c>
      <c r="B82">
        <f t="shared" ca="1" si="16"/>
        <v>0</v>
      </c>
      <c r="C82" t="str">
        <f t="shared" ca="1" si="17"/>
        <v>C</v>
      </c>
      <c r="D82" t="str">
        <f t="shared" ca="1" si="18"/>
        <v>28</v>
      </c>
      <c r="E82" t="str">
        <f t="shared" ca="1" si="19"/>
        <v>elec29</v>
      </c>
      <c r="F82" s="55" t="str">
        <f t="shared" si="13"/>
        <v>C 4</v>
      </c>
      <c r="G82" s="55">
        <f t="shared" ca="1" si="20"/>
        <v>86</v>
      </c>
      <c r="H82" s="55">
        <f t="shared" ca="1" si="21"/>
        <v>29</v>
      </c>
      <c r="I82" s="55">
        <f t="shared" ca="1" si="22"/>
        <v>29</v>
      </c>
      <c r="J82" s="55" t="str">
        <f t="shared" ca="1" si="14"/>
        <v>6,0</v>
      </c>
      <c r="K82" s="55">
        <f t="shared" ca="1" si="23"/>
        <v>0</v>
      </c>
    </row>
    <row r="83" spans="1:11" x14ac:dyDescent="0.25">
      <c r="A83">
        <f t="shared" ca="1" si="15"/>
        <v>7</v>
      </c>
      <c r="B83">
        <f t="shared" ca="1" si="16"/>
        <v>9</v>
      </c>
      <c r="C83" t="str">
        <f t="shared" ca="1" si="17"/>
        <v>A</v>
      </c>
      <c r="D83" t="str">
        <f t="shared" ca="1" si="18"/>
        <v>10</v>
      </c>
      <c r="E83" t="str">
        <f t="shared" ca="1" si="19"/>
        <v>elec28</v>
      </c>
      <c r="F83" s="55" t="str">
        <f t="shared" si="13"/>
        <v>C 5</v>
      </c>
      <c r="G83" s="55">
        <f t="shared" ca="1" si="20"/>
        <v>94</v>
      </c>
      <c r="H83" s="55">
        <f t="shared" ca="1" si="21"/>
        <v>28</v>
      </c>
      <c r="I83" s="55">
        <f t="shared" ca="1" si="22"/>
        <v>28</v>
      </c>
      <c r="J83" s="55" t="str">
        <f t="shared" ca="1" si="14"/>
        <v>7,-9</v>
      </c>
      <c r="K83" s="55">
        <f t="shared" ca="1" si="23"/>
        <v>0</v>
      </c>
    </row>
    <row r="84" spans="1:11" x14ac:dyDescent="0.25">
      <c r="A84">
        <f t="shared" ca="1" si="15"/>
        <v>7</v>
      </c>
      <c r="B84">
        <f t="shared" ca="1" si="16"/>
        <v>8</v>
      </c>
      <c r="C84" t="str">
        <f t="shared" ca="1" si="17"/>
        <v>A</v>
      </c>
      <c r="D84" t="str">
        <f t="shared" ca="1" si="18"/>
        <v>12</v>
      </c>
      <c r="E84" t="str">
        <f t="shared" ca="1" si="19"/>
        <v>elec27</v>
      </c>
      <c r="F84" s="55" t="str">
        <f t="shared" si="13"/>
        <v>C 6</v>
      </c>
      <c r="G84" s="55">
        <f t="shared" ca="1" si="20"/>
        <v>85</v>
      </c>
      <c r="H84" s="55">
        <f t="shared" ca="1" si="21"/>
        <v>27</v>
      </c>
      <c r="I84" s="55">
        <f t="shared" ca="1" si="22"/>
        <v>27</v>
      </c>
      <c r="J84" s="55" t="str">
        <f t="shared" ca="1" si="14"/>
        <v>7,-8</v>
      </c>
      <c r="K84" s="55">
        <f t="shared" ca="1" si="23"/>
        <v>0</v>
      </c>
    </row>
    <row r="85" spans="1:11" x14ac:dyDescent="0.25">
      <c r="A85">
        <f t="shared" ca="1" si="15"/>
        <v>7</v>
      </c>
      <c r="B85">
        <f t="shared" ca="1" si="16"/>
        <v>7</v>
      </c>
      <c r="C85" t="str">
        <f t="shared" ca="1" si="17"/>
        <v>A</v>
      </c>
      <c r="D85" t="str">
        <f t="shared" ca="1" si="18"/>
        <v>23</v>
      </c>
      <c r="E85" t="str">
        <f t="shared" ca="1" si="19"/>
        <v>elec26</v>
      </c>
      <c r="F85" s="55" t="str">
        <f t="shared" si="13"/>
        <v>C 7</v>
      </c>
      <c r="G85" s="55">
        <f t="shared" ca="1" si="20"/>
        <v>93</v>
      </c>
      <c r="H85" s="55">
        <f t="shared" ca="1" si="21"/>
        <v>26</v>
      </c>
      <c r="I85" s="55">
        <f t="shared" ca="1" si="22"/>
        <v>26</v>
      </c>
      <c r="J85" s="55" t="str">
        <f t="shared" ca="1" si="14"/>
        <v>7,-7</v>
      </c>
      <c r="K85" s="55">
        <f t="shared" ca="1" si="23"/>
        <v>0</v>
      </c>
    </row>
    <row r="86" spans="1:11" x14ac:dyDescent="0.25">
      <c r="A86">
        <f t="shared" ca="1" si="15"/>
        <v>7</v>
      </c>
      <c r="B86">
        <f t="shared" ca="1" si="16"/>
        <v>6</v>
      </c>
      <c r="C86" t="str">
        <f t="shared" ca="1" si="17"/>
        <v>A</v>
      </c>
      <c r="D86" t="str">
        <f t="shared" ca="1" si="18"/>
        <v>25</v>
      </c>
      <c r="E86" t="str">
        <f t="shared" ca="1" si="19"/>
        <v>elec25</v>
      </c>
      <c r="F86" s="55" t="str">
        <f t="shared" si="13"/>
        <v>C 8</v>
      </c>
      <c r="G86" s="55">
        <f t="shared" ca="1" si="20"/>
        <v>84</v>
      </c>
      <c r="H86" s="55">
        <f t="shared" ca="1" si="21"/>
        <v>25</v>
      </c>
      <c r="I86" s="55">
        <f t="shared" ca="1" si="22"/>
        <v>25</v>
      </c>
      <c r="J86" s="55" t="str">
        <f t="shared" ca="1" si="14"/>
        <v>7,-6</v>
      </c>
      <c r="K86" s="55">
        <f t="shared" ca="1" si="23"/>
        <v>0</v>
      </c>
    </row>
    <row r="87" spans="1:11" x14ac:dyDescent="0.25">
      <c r="A87">
        <f t="shared" ca="1" si="15"/>
        <v>7</v>
      </c>
      <c r="B87">
        <f t="shared" ca="1" si="16"/>
        <v>5</v>
      </c>
      <c r="C87" t="str">
        <f t="shared" ca="1" si="17"/>
        <v>A</v>
      </c>
      <c r="D87" t="str">
        <f t="shared" ca="1" si="18"/>
        <v>21</v>
      </c>
      <c r="E87" t="str">
        <f t="shared" ca="1" si="19"/>
        <v>elec24</v>
      </c>
      <c r="F87" s="55" t="str">
        <f t="shared" si="13"/>
        <v>C 9</v>
      </c>
      <c r="G87" s="55">
        <f t="shared" ca="1" si="20"/>
        <v>92</v>
      </c>
      <c r="H87" s="55">
        <f t="shared" ca="1" si="21"/>
        <v>24</v>
      </c>
      <c r="I87" s="55">
        <f t="shared" ca="1" si="22"/>
        <v>24</v>
      </c>
      <c r="J87" s="55" t="str">
        <f t="shared" ca="1" si="14"/>
        <v>7,-5</v>
      </c>
      <c r="K87" s="55">
        <f t="shared" ca="1" si="23"/>
        <v>0</v>
      </c>
    </row>
    <row r="88" spans="1:11" x14ac:dyDescent="0.25">
      <c r="A88">
        <f t="shared" ca="1" si="15"/>
        <v>7</v>
      </c>
      <c r="B88">
        <f t="shared" ca="1" si="16"/>
        <v>4</v>
      </c>
      <c r="C88" t="str">
        <f t="shared" ca="1" si="17"/>
        <v>B</v>
      </c>
      <c r="D88" t="str">
        <f t="shared" ca="1" si="18"/>
        <v>30</v>
      </c>
      <c r="E88" t="str">
        <f t="shared" ca="1" si="19"/>
        <v>elec23</v>
      </c>
      <c r="F88" s="55" t="str">
        <f t="shared" ref="F88:F142" si="24">LEFT(F87,1)&amp;" "&amp;VALUE(MID(F87,3,2))+1</f>
        <v>C 10</v>
      </c>
      <c r="G88" s="55">
        <f t="shared" ca="1" si="20"/>
        <v>83</v>
      </c>
      <c r="H88" s="55">
        <f t="shared" ca="1" si="21"/>
        <v>23</v>
      </c>
      <c r="I88" s="55">
        <f t="shared" ca="1" si="22"/>
        <v>23</v>
      </c>
      <c r="J88" s="55" t="str">
        <f t="shared" ca="1" si="14"/>
        <v>7,-4</v>
      </c>
      <c r="K88" s="55">
        <f t="shared" ca="1" si="23"/>
        <v>0</v>
      </c>
    </row>
    <row r="89" spans="1:11" x14ac:dyDescent="0.25">
      <c r="A89">
        <f t="shared" ca="1" si="15"/>
        <v>7</v>
      </c>
      <c r="B89">
        <f t="shared" ca="1" si="16"/>
        <v>3</v>
      </c>
      <c r="C89" t="str">
        <f t="shared" ca="1" si="17"/>
        <v>B</v>
      </c>
      <c r="D89" t="str">
        <f t="shared" ca="1" si="18"/>
        <v>28</v>
      </c>
      <c r="E89" t="str">
        <f t="shared" ca="1" si="19"/>
        <v>elec22</v>
      </c>
      <c r="F89" s="55" t="str">
        <f t="shared" si="24"/>
        <v>C 11</v>
      </c>
      <c r="G89" s="55">
        <f t="shared" ca="1" si="20"/>
        <v>91</v>
      </c>
      <c r="H89" s="55">
        <f t="shared" ca="1" si="21"/>
        <v>22</v>
      </c>
      <c r="I89" s="55">
        <f t="shared" ca="1" si="22"/>
        <v>22</v>
      </c>
      <c r="J89" s="55" t="str">
        <f t="shared" ca="1" si="14"/>
        <v>7,-3</v>
      </c>
      <c r="K89" s="55">
        <f t="shared" ca="1" si="23"/>
        <v>0</v>
      </c>
    </row>
    <row r="90" spans="1:11" x14ac:dyDescent="0.25">
      <c r="A90">
        <f t="shared" ca="1" si="15"/>
        <v>7</v>
      </c>
      <c r="B90">
        <f t="shared" ca="1" si="16"/>
        <v>2</v>
      </c>
      <c r="C90" t="str">
        <f t="shared" ca="1" si="17"/>
        <v>B</v>
      </c>
      <c r="D90" t="str">
        <f t="shared" ca="1" si="18"/>
        <v>27</v>
      </c>
      <c r="E90" t="str">
        <f t="shared" ca="1" si="19"/>
        <v>elec21</v>
      </c>
      <c r="F90" s="55" t="str">
        <f t="shared" si="24"/>
        <v>C 12</v>
      </c>
      <c r="G90" s="55">
        <f t="shared" ca="1" si="20"/>
        <v>82</v>
      </c>
      <c r="H90" s="55">
        <f t="shared" ca="1" si="21"/>
        <v>21</v>
      </c>
      <c r="I90" s="55">
        <f t="shared" ca="1" si="22"/>
        <v>21</v>
      </c>
      <c r="J90" s="55" t="str">
        <f t="shared" ca="1" si="14"/>
        <v>7,-2</v>
      </c>
      <c r="K90" s="55">
        <f t="shared" ca="1" si="23"/>
        <v>0</v>
      </c>
    </row>
    <row r="91" spans="1:11" x14ac:dyDescent="0.25">
      <c r="A91">
        <f t="shared" ca="1" si="15"/>
        <v>7</v>
      </c>
      <c r="B91">
        <f t="shared" ca="1" si="16"/>
        <v>1</v>
      </c>
      <c r="C91" t="str">
        <f t="shared" ca="1" si="17"/>
        <v>C</v>
      </c>
      <c r="D91" t="str">
        <f t="shared" ca="1" si="18"/>
        <v>30</v>
      </c>
      <c r="E91" t="str">
        <f t="shared" ca="1" si="19"/>
        <v>elec20</v>
      </c>
      <c r="F91" s="55" t="str">
        <f t="shared" si="24"/>
        <v>C 13</v>
      </c>
      <c r="G91" s="55">
        <f t="shared" ca="1" si="20"/>
        <v>90</v>
      </c>
      <c r="H91" s="55">
        <f t="shared" ca="1" si="21"/>
        <v>20</v>
      </c>
      <c r="I91" s="55">
        <f t="shared" ca="1" si="22"/>
        <v>20</v>
      </c>
      <c r="J91" s="55" t="str">
        <f t="shared" ca="1" si="14"/>
        <v>7,-1</v>
      </c>
      <c r="K91" s="55">
        <f t="shared" ca="1" si="23"/>
        <v>0</v>
      </c>
    </row>
    <row r="92" spans="1:11" x14ac:dyDescent="0.25">
      <c r="A92">
        <f t="shared" ca="1" si="15"/>
        <v>7</v>
      </c>
      <c r="B92">
        <f t="shared" ca="1" si="16"/>
        <v>0</v>
      </c>
      <c r="C92" t="str">
        <f t="shared" ca="1" si="17"/>
        <v>C</v>
      </c>
      <c r="D92" t="str">
        <f t="shared" ca="1" si="18"/>
        <v>29</v>
      </c>
      <c r="E92" t="str">
        <f t="shared" ca="1" si="19"/>
        <v>elec19</v>
      </c>
      <c r="F92" s="55" t="str">
        <f t="shared" si="24"/>
        <v>C 14</v>
      </c>
      <c r="G92" s="55">
        <f t="shared" ca="1" si="20"/>
        <v>81</v>
      </c>
      <c r="H92" s="55">
        <f t="shared" ca="1" si="21"/>
        <v>19</v>
      </c>
      <c r="I92" s="55">
        <f t="shared" ca="1" si="22"/>
        <v>19</v>
      </c>
      <c r="J92" s="55" t="str">
        <f t="shared" ca="1" si="14"/>
        <v>7,0</v>
      </c>
      <c r="K92" s="55">
        <f t="shared" ca="1" si="23"/>
        <v>0</v>
      </c>
    </row>
    <row r="93" spans="1:11" x14ac:dyDescent="0.25">
      <c r="A93">
        <f t="shared" ca="1" si="15"/>
        <v>8</v>
      </c>
      <c r="B93">
        <f t="shared" ca="1" si="16"/>
        <v>9</v>
      </c>
      <c r="C93" t="str">
        <f t="shared" ca="1" si="17"/>
        <v>A</v>
      </c>
      <c r="D93" t="str">
        <f t="shared" ca="1" si="18"/>
        <v>14</v>
      </c>
      <c r="E93" t="str">
        <f t="shared" ca="1" si="19"/>
        <v>elec18</v>
      </c>
      <c r="F93" s="55" t="str">
        <f t="shared" si="24"/>
        <v>C 15</v>
      </c>
      <c r="G93" s="55">
        <f t="shared" ca="1" si="20"/>
        <v>89</v>
      </c>
      <c r="H93" s="55">
        <f t="shared" ca="1" si="21"/>
        <v>18</v>
      </c>
      <c r="I93" s="55">
        <f t="shared" ca="1" si="22"/>
        <v>18</v>
      </c>
      <c r="J93" s="55" t="str">
        <f t="shared" ca="1" si="14"/>
        <v>8,-9</v>
      </c>
      <c r="K93" s="55">
        <f t="shared" ca="1" si="23"/>
        <v>0</v>
      </c>
    </row>
    <row r="94" spans="1:11" x14ac:dyDescent="0.25">
      <c r="A94">
        <f t="shared" ca="1" si="15"/>
        <v>8</v>
      </c>
      <c r="B94">
        <f t="shared" ca="1" si="16"/>
        <v>8</v>
      </c>
      <c r="C94" t="str">
        <f t="shared" ca="1" si="17"/>
        <v>A</v>
      </c>
      <c r="D94" t="str">
        <f t="shared" ca="1" si="18"/>
        <v>16</v>
      </c>
      <c r="E94" t="str">
        <f t="shared" ca="1" si="19"/>
        <v>elec17</v>
      </c>
      <c r="F94" s="55" t="str">
        <f t="shared" si="24"/>
        <v>C 16</v>
      </c>
      <c r="G94" s="55">
        <f t="shared" ca="1" si="20"/>
        <v>80</v>
      </c>
      <c r="H94" s="55">
        <f t="shared" ca="1" si="21"/>
        <v>17</v>
      </c>
      <c r="I94" s="55">
        <f t="shared" ca="1" si="22"/>
        <v>17</v>
      </c>
      <c r="J94" s="55" t="str">
        <f t="shared" ca="1" si="14"/>
        <v>8,-8</v>
      </c>
      <c r="K94" s="55">
        <f t="shared" ca="1" si="23"/>
        <v>0</v>
      </c>
    </row>
    <row r="95" spans="1:11" x14ac:dyDescent="0.25">
      <c r="A95">
        <f t="shared" ca="1" si="15"/>
        <v>8</v>
      </c>
      <c r="B95">
        <f t="shared" ca="1" si="16"/>
        <v>7</v>
      </c>
      <c r="C95" t="str">
        <f t="shared" ca="1" si="17"/>
        <v>A</v>
      </c>
      <c r="D95" t="str">
        <f t="shared" ca="1" si="18"/>
        <v>20</v>
      </c>
      <c r="E95" t="str">
        <f t="shared" ca="1" si="19"/>
        <v>elec16</v>
      </c>
      <c r="F95" s="55" t="str">
        <f t="shared" si="24"/>
        <v>C 17</v>
      </c>
      <c r="G95" s="55">
        <f t="shared" ca="1" si="20"/>
        <v>79</v>
      </c>
      <c r="H95" s="55">
        <f t="shared" ca="1" si="21"/>
        <v>16</v>
      </c>
      <c r="I95" s="55">
        <f t="shared" ca="1" si="22"/>
        <v>16</v>
      </c>
      <c r="J95" s="55" t="str">
        <f t="shared" ca="1" si="14"/>
        <v>8,-7</v>
      </c>
      <c r="K95" s="55">
        <f t="shared" ca="1" si="23"/>
        <v>0</v>
      </c>
    </row>
    <row r="96" spans="1:11" x14ac:dyDescent="0.25">
      <c r="A96">
        <f t="shared" ca="1" si="15"/>
        <v>8</v>
      </c>
      <c r="B96">
        <f t="shared" ca="1" si="16"/>
        <v>6</v>
      </c>
      <c r="C96" t="str">
        <f t="shared" ca="1" si="17"/>
        <v>A</v>
      </c>
      <c r="D96" t="str">
        <f t="shared" ca="1" si="18"/>
        <v>27</v>
      </c>
      <c r="E96" t="str">
        <f t="shared" ca="1" si="19"/>
        <v>elec15</v>
      </c>
      <c r="F96" s="55" t="str">
        <f t="shared" si="24"/>
        <v>C 18</v>
      </c>
      <c r="G96" s="55">
        <f t="shared" ca="1" si="20"/>
        <v>71</v>
      </c>
      <c r="H96" s="55">
        <f t="shared" ca="1" si="21"/>
        <v>15</v>
      </c>
      <c r="I96" s="55">
        <f t="shared" ca="1" si="22"/>
        <v>15</v>
      </c>
      <c r="J96" s="55" t="str">
        <f t="shared" ca="1" si="14"/>
        <v>8,-6</v>
      </c>
      <c r="K96" s="55">
        <f t="shared" ca="1" si="23"/>
        <v>0</v>
      </c>
    </row>
    <row r="97" spans="1:11" x14ac:dyDescent="0.25">
      <c r="A97">
        <f t="shared" ca="1" si="15"/>
        <v>8</v>
      </c>
      <c r="B97">
        <f t="shared" ca="1" si="16"/>
        <v>5</v>
      </c>
      <c r="C97" t="str">
        <f t="shared" ca="1" si="17"/>
        <v>A</v>
      </c>
      <c r="D97" t="str">
        <f t="shared" ca="1" si="18"/>
        <v>29</v>
      </c>
      <c r="E97" t="str">
        <f t="shared" ca="1" si="19"/>
        <v>elec14</v>
      </c>
      <c r="F97" s="55" t="str">
        <f t="shared" si="24"/>
        <v>C 19</v>
      </c>
      <c r="G97" s="55">
        <f t="shared" ca="1" si="20"/>
        <v>69</v>
      </c>
      <c r="H97" s="55">
        <f t="shared" ca="1" si="21"/>
        <v>14</v>
      </c>
      <c r="I97" s="55">
        <f t="shared" ca="1" si="22"/>
        <v>14</v>
      </c>
      <c r="J97" s="55" t="str">
        <f t="shared" ca="1" si="14"/>
        <v>8,-5</v>
      </c>
      <c r="K97" s="55">
        <f t="shared" ca="1" si="23"/>
        <v>0</v>
      </c>
    </row>
    <row r="98" spans="1:11" x14ac:dyDescent="0.25">
      <c r="A98">
        <f t="shared" ca="1" si="15"/>
        <v>8</v>
      </c>
      <c r="B98">
        <f t="shared" ca="1" si="16"/>
        <v>4</v>
      </c>
      <c r="C98" t="str">
        <f t="shared" ca="1" si="17"/>
        <v>A</v>
      </c>
      <c r="D98" t="str">
        <f t="shared" ca="1" si="18"/>
        <v>31</v>
      </c>
      <c r="E98" t="str">
        <f t="shared" ca="1" si="19"/>
        <v>elec13</v>
      </c>
      <c r="F98" s="55" t="str">
        <f t="shared" si="24"/>
        <v>C 20</v>
      </c>
      <c r="G98" s="55">
        <f t="shared" ca="1" si="20"/>
        <v>70</v>
      </c>
      <c r="H98" s="55">
        <f t="shared" ca="1" si="21"/>
        <v>13</v>
      </c>
      <c r="I98" s="55">
        <f t="shared" ca="1" si="22"/>
        <v>13</v>
      </c>
      <c r="J98" s="55" t="str">
        <f t="shared" ca="1" si="14"/>
        <v>8,-4</v>
      </c>
      <c r="K98" s="55">
        <f t="shared" ca="1" si="23"/>
        <v>0</v>
      </c>
    </row>
    <row r="99" spans="1:11" x14ac:dyDescent="0.25">
      <c r="A99">
        <f t="shared" ca="1" si="15"/>
        <v>8</v>
      </c>
      <c r="B99">
        <f t="shared" ca="1" si="16"/>
        <v>3</v>
      </c>
      <c r="C99" t="str">
        <f t="shared" ca="1" si="17"/>
        <v>B</v>
      </c>
      <c r="D99" t="str">
        <f t="shared" ca="1" si="18"/>
        <v>32</v>
      </c>
      <c r="E99" t="str">
        <f t="shared" ca="1" si="19"/>
        <v>elec12</v>
      </c>
      <c r="F99" s="55" t="str">
        <f t="shared" si="24"/>
        <v>C 21</v>
      </c>
      <c r="G99" s="55">
        <f t="shared" ca="1" si="20"/>
        <v>59</v>
      </c>
      <c r="H99" s="55">
        <f t="shared" ca="1" si="21"/>
        <v>12</v>
      </c>
      <c r="I99" s="55">
        <f t="shared" ca="1" si="22"/>
        <v>12</v>
      </c>
      <c r="J99" s="55" t="str">
        <f t="shared" ca="1" si="14"/>
        <v>8,-3</v>
      </c>
      <c r="K99" s="55">
        <f t="shared" ca="1" si="23"/>
        <v>0</v>
      </c>
    </row>
    <row r="100" spans="1:11" x14ac:dyDescent="0.25">
      <c r="A100">
        <f t="shared" ca="1" si="15"/>
        <v>8</v>
      </c>
      <c r="B100">
        <f t="shared" ca="1" si="16"/>
        <v>2</v>
      </c>
      <c r="C100" t="str">
        <f t="shared" ca="1" si="17"/>
        <v>B</v>
      </c>
      <c r="D100" t="str">
        <f t="shared" ca="1" si="18"/>
        <v>29</v>
      </c>
      <c r="E100" t="str">
        <f t="shared" ca="1" si="19"/>
        <v>elec11</v>
      </c>
      <c r="F100" s="55" t="str">
        <f t="shared" si="24"/>
        <v>C 22</v>
      </c>
      <c r="G100" s="55">
        <f t="shared" ca="1" si="20"/>
        <v>60</v>
      </c>
      <c r="H100" s="55">
        <f t="shared" ca="1" si="21"/>
        <v>11</v>
      </c>
      <c r="I100" s="55">
        <f t="shared" ca="1" si="22"/>
        <v>11</v>
      </c>
      <c r="J100" s="55" t="str">
        <f t="shared" ca="1" si="14"/>
        <v>8,-2</v>
      </c>
      <c r="K100" s="55">
        <f t="shared" ca="1" si="23"/>
        <v>0</v>
      </c>
    </row>
    <row r="101" spans="1:11" x14ac:dyDescent="0.25">
      <c r="A101">
        <f t="shared" ca="1" si="15"/>
        <v>8</v>
      </c>
      <c r="B101">
        <f t="shared" ca="1" si="16"/>
        <v>1</v>
      </c>
      <c r="C101" t="str">
        <f t="shared" ca="1" si="17"/>
        <v>B</v>
      </c>
      <c r="D101" t="str">
        <f t="shared" ca="1" si="18"/>
        <v>31</v>
      </c>
      <c r="E101" t="str">
        <f t="shared" ca="1" si="19"/>
        <v>elec10</v>
      </c>
      <c r="F101" s="55" t="str">
        <f t="shared" si="24"/>
        <v>C 23</v>
      </c>
      <c r="G101" s="55">
        <f t="shared" ca="1" si="20"/>
        <v>50</v>
      </c>
      <c r="H101" s="55">
        <f t="shared" ca="1" si="21"/>
        <v>10</v>
      </c>
      <c r="I101" s="55">
        <f t="shared" ca="1" si="22"/>
        <v>10</v>
      </c>
      <c r="J101" s="55" t="str">
        <f t="shared" ca="1" si="14"/>
        <v>8,-1</v>
      </c>
      <c r="K101" s="55">
        <f t="shared" ca="1" si="23"/>
        <v>0</v>
      </c>
    </row>
    <row r="102" spans="1:11" x14ac:dyDescent="0.25">
      <c r="A102">
        <f t="shared" ca="1" si="15"/>
        <v>8</v>
      </c>
      <c r="B102">
        <f t="shared" ca="1" si="16"/>
        <v>0</v>
      </c>
      <c r="C102" t="str">
        <f t="shared" ca="1" si="17"/>
        <v>C</v>
      </c>
      <c r="D102" t="str">
        <f t="shared" ca="1" si="18"/>
        <v>32</v>
      </c>
      <c r="E102" t="str">
        <f t="shared" ca="1" si="19"/>
        <v>elec9</v>
      </c>
      <c r="F102" s="55" t="str">
        <f t="shared" si="24"/>
        <v>C 24</v>
      </c>
      <c r="G102" s="55">
        <f t="shared" ca="1" si="20"/>
        <v>49</v>
      </c>
      <c r="H102" s="55">
        <f t="shared" ca="1" si="21"/>
        <v>9</v>
      </c>
      <c r="I102" s="55">
        <f t="shared" ca="1" si="22"/>
        <v>9</v>
      </c>
      <c r="J102" s="55" t="str">
        <f t="shared" ca="1" si="14"/>
        <v>8,0</v>
      </c>
      <c r="K102" s="55">
        <f t="shared" ca="1" si="23"/>
        <v>0</v>
      </c>
    </row>
    <row r="103" spans="1:11" x14ac:dyDescent="0.25">
      <c r="A103">
        <f t="shared" ca="1" si="15"/>
        <v>9</v>
      </c>
      <c r="B103">
        <f t="shared" ca="1" si="16"/>
        <v>8</v>
      </c>
      <c r="C103" t="str">
        <f t="shared" ca="1" si="17"/>
        <v>A</v>
      </c>
      <c r="D103" t="str">
        <f t="shared" ca="1" si="18"/>
        <v>18</v>
      </c>
      <c r="E103" t="str">
        <f t="shared" ca="1" si="19"/>
        <v>elec8</v>
      </c>
      <c r="F103" s="55" t="str">
        <f t="shared" si="24"/>
        <v>C 25</v>
      </c>
      <c r="G103" s="55">
        <f t="shared" ca="1" si="20"/>
        <v>40</v>
      </c>
      <c r="H103" s="55">
        <f t="shared" ca="1" si="21"/>
        <v>8</v>
      </c>
      <c r="I103" s="55">
        <f t="shared" ca="1" si="22"/>
        <v>8</v>
      </c>
      <c r="J103" s="55" t="str">
        <f t="shared" ca="1" si="14"/>
        <v>9,-8</v>
      </c>
      <c r="K103" s="55">
        <f t="shared" ca="1" si="23"/>
        <v>0</v>
      </c>
    </row>
    <row r="104" spans="1:11" x14ac:dyDescent="0.25">
      <c r="A104">
        <f t="shared" ca="1" si="15"/>
        <v>9</v>
      </c>
      <c r="B104">
        <f t="shared" ca="1" si="16"/>
        <v>7</v>
      </c>
      <c r="C104" t="str">
        <f t="shared" ca="1" si="17"/>
        <v>A</v>
      </c>
      <c r="D104" t="str">
        <f t="shared" ca="1" si="18"/>
        <v>22</v>
      </c>
      <c r="E104" t="str">
        <f t="shared" ca="1" si="19"/>
        <v>elec7</v>
      </c>
      <c r="F104" s="55" t="str">
        <f t="shared" si="24"/>
        <v>C 26</v>
      </c>
      <c r="G104" s="55">
        <f t="shared" ca="1" si="20"/>
        <v>39</v>
      </c>
      <c r="H104" s="55">
        <f t="shared" ca="1" si="21"/>
        <v>7</v>
      </c>
      <c r="I104" s="55">
        <f t="shared" ca="1" si="22"/>
        <v>7</v>
      </c>
      <c r="J104" s="55" t="str">
        <f t="shared" ca="1" si="14"/>
        <v>9,-7</v>
      </c>
      <c r="K104" s="55">
        <f t="shared" ca="1" si="23"/>
        <v>0</v>
      </c>
    </row>
    <row r="105" spans="1:11" x14ac:dyDescent="0.25">
      <c r="A105">
        <f t="shared" ca="1" si="15"/>
        <v>9</v>
      </c>
      <c r="B105">
        <f t="shared" ca="1" si="16"/>
        <v>6</v>
      </c>
      <c r="C105" t="str">
        <f t="shared" ca="1" si="17"/>
        <v>A</v>
      </c>
      <c r="D105" t="str">
        <f t="shared" ca="1" si="18"/>
        <v>24</v>
      </c>
      <c r="E105" t="str">
        <f t="shared" ca="1" si="19"/>
        <v>elec6</v>
      </c>
      <c r="F105" s="55" t="str">
        <f t="shared" si="24"/>
        <v>C 27</v>
      </c>
      <c r="G105" s="55">
        <f t="shared" ca="1" si="20"/>
        <v>30</v>
      </c>
      <c r="H105" s="55">
        <f t="shared" ca="1" si="21"/>
        <v>6</v>
      </c>
      <c r="I105" s="55">
        <f t="shared" ca="1" si="22"/>
        <v>6</v>
      </c>
      <c r="J105" s="55" t="str">
        <f t="shared" ca="1" si="14"/>
        <v>9,-6</v>
      </c>
      <c r="K105" s="55">
        <f t="shared" ca="1" si="23"/>
        <v>0</v>
      </c>
    </row>
    <row r="106" spans="1:11" x14ac:dyDescent="0.25">
      <c r="A106">
        <f t="shared" ca="1" si="15"/>
        <v>9</v>
      </c>
      <c r="B106">
        <f t="shared" ca="1" si="16"/>
        <v>5</v>
      </c>
      <c r="C106" t="str">
        <f t="shared" ca="1" si="17"/>
        <v>A</v>
      </c>
      <c r="D106" t="str">
        <f t="shared" ca="1" si="18"/>
        <v>26</v>
      </c>
      <c r="E106" t="str">
        <f t="shared" ca="1" si="19"/>
        <v>elec5</v>
      </c>
      <c r="F106" s="55" t="str">
        <f t="shared" si="24"/>
        <v>C 28</v>
      </c>
      <c r="G106" s="55">
        <f t="shared" ca="1" si="20"/>
        <v>29</v>
      </c>
      <c r="H106" s="55">
        <f t="shared" ca="1" si="21"/>
        <v>5</v>
      </c>
      <c r="I106" s="55">
        <f t="shared" ca="1" si="22"/>
        <v>5</v>
      </c>
      <c r="J106" s="55" t="str">
        <f t="shared" ca="1" si="14"/>
        <v>9,-5</v>
      </c>
      <c r="K106" s="55">
        <f t="shared" ca="1" si="23"/>
        <v>0</v>
      </c>
    </row>
    <row r="107" spans="1:11" x14ac:dyDescent="0.25">
      <c r="A107">
        <f t="shared" ca="1" si="15"/>
        <v>9</v>
      </c>
      <c r="B107">
        <f t="shared" ca="1" si="16"/>
        <v>4</v>
      </c>
      <c r="C107" t="str">
        <f t="shared" ca="1" si="17"/>
        <v>A</v>
      </c>
      <c r="D107" t="str">
        <f t="shared" ca="1" si="18"/>
        <v>28</v>
      </c>
      <c r="E107" t="str">
        <f t="shared" ca="1" si="19"/>
        <v>elec4</v>
      </c>
      <c r="F107" s="55" t="str">
        <f t="shared" si="24"/>
        <v>C 29</v>
      </c>
      <c r="G107" s="55">
        <f t="shared" ca="1" si="20"/>
        <v>19</v>
      </c>
      <c r="H107" s="55">
        <f t="shared" ca="1" si="21"/>
        <v>4</v>
      </c>
      <c r="I107" s="55">
        <f t="shared" ca="1" si="22"/>
        <v>4</v>
      </c>
      <c r="J107" s="55" t="str">
        <f t="shared" ca="1" si="14"/>
        <v>9,-4</v>
      </c>
      <c r="K107" s="55">
        <f t="shared" ca="1" si="23"/>
        <v>0</v>
      </c>
    </row>
    <row r="108" spans="1:11" x14ac:dyDescent="0.25">
      <c r="A108">
        <f t="shared" ca="1" si="15"/>
        <v>9</v>
      </c>
      <c r="B108">
        <f t="shared" ca="1" si="16"/>
        <v>3</v>
      </c>
      <c r="C108" t="str">
        <f t="shared" ca="1" si="17"/>
        <v>A</v>
      </c>
      <c r="D108" t="str">
        <f t="shared" ca="1" si="18"/>
        <v>30</v>
      </c>
      <c r="E108" t="str">
        <f t="shared" ca="1" si="19"/>
        <v>elec3</v>
      </c>
      <c r="F108" s="55" t="str">
        <f t="shared" si="24"/>
        <v>C 30</v>
      </c>
      <c r="G108" s="55">
        <f t="shared" ca="1" si="20"/>
        <v>20</v>
      </c>
      <c r="H108" s="55">
        <f t="shared" ca="1" si="21"/>
        <v>3</v>
      </c>
      <c r="I108" s="55">
        <f t="shared" ca="1" si="22"/>
        <v>3</v>
      </c>
      <c r="J108" s="55" t="str">
        <f t="shared" ca="1" si="14"/>
        <v>9,-3</v>
      </c>
      <c r="K108" s="55">
        <f t="shared" ca="1" si="23"/>
        <v>0</v>
      </c>
    </row>
    <row r="109" spans="1:11" x14ac:dyDescent="0.25">
      <c r="A109">
        <f t="shared" ca="1" si="15"/>
        <v>9</v>
      </c>
      <c r="B109">
        <f t="shared" ca="1" si="16"/>
        <v>2</v>
      </c>
      <c r="C109" t="str">
        <f t="shared" ca="1" si="17"/>
        <v>A</v>
      </c>
      <c r="D109" t="str">
        <f t="shared" ca="1" si="18"/>
        <v>32</v>
      </c>
      <c r="E109" t="str">
        <f t="shared" ca="1" si="19"/>
        <v>elec2</v>
      </c>
      <c r="F109" s="55" t="str">
        <f t="shared" si="24"/>
        <v>C 31</v>
      </c>
      <c r="G109" s="55">
        <f t="shared" ca="1" si="20"/>
        <v>1</v>
      </c>
      <c r="H109" s="55">
        <f t="shared" ca="1" si="21"/>
        <v>2</v>
      </c>
      <c r="I109" s="55">
        <f t="shared" ca="1" si="22"/>
        <v>2</v>
      </c>
      <c r="J109" s="55" t="str">
        <f t="shared" ca="1" si="14"/>
        <v>9,-2</v>
      </c>
      <c r="K109" s="55">
        <f t="shared" ca="1" si="23"/>
        <v>0</v>
      </c>
    </row>
    <row r="110" spans="1:11" x14ac:dyDescent="0.25">
      <c r="A110">
        <f t="shared" ca="1" si="15"/>
        <v>9</v>
      </c>
      <c r="B110">
        <f t="shared" ca="1" si="16"/>
        <v>1</v>
      </c>
      <c r="C110" t="str">
        <f t="shared" ca="1" si="17"/>
        <v>C</v>
      </c>
      <c r="D110" t="str">
        <f t="shared" ca="1" si="18"/>
        <v>31</v>
      </c>
      <c r="E110" t="str">
        <f t="shared" ca="1" si="19"/>
        <v>elec1</v>
      </c>
      <c r="F110" s="55" t="str">
        <f t="shared" si="24"/>
        <v>C 32</v>
      </c>
      <c r="G110" s="55">
        <f t="shared" ca="1" si="20"/>
        <v>9</v>
      </c>
      <c r="H110" s="55">
        <f t="shared" ca="1" si="21"/>
        <v>1</v>
      </c>
      <c r="I110" s="55">
        <f t="shared" ca="1" si="22"/>
        <v>1</v>
      </c>
      <c r="J110" s="55" t="str">
        <f t="shared" ca="1" si="14"/>
        <v>9,-1</v>
      </c>
      <c r="K110" s="55">
        <f t="shared" ca="1" si="23"/>
        <v>0</v>
      </c>
    </row>
    <row r="111" spans="1:11" x14ac:dyDescent="0.25">
      <c r="A111" t="str">
        <f t="shared" ca="1" si="15"/>
        <v/>
      </c>
      <c r="B111" t="str">
        <f t="shared" ca="1" si="16"/>
        <v/>
      </c>
      <c r="C111" t="str">
        <f t="shared" ca="1" si="17"/>
        <v/>
      </c>
      <c r="D111" t="str">
        <f t="shared" ca="1" si="18"/>
        <v/>
      </c>
      <c r="E111" t="str">
        <f t="shared" ca="1" si="19"/>
        <v/>
      </c>
      <c r="F111" s="55" t="s">
        <v>35</v>
      </c>
      <c r="G111" s="55">
        <f t="shared" ca="1" si="20"/>
        <v>0</v>
      </c>
      <c r="H111" s="55">
        <f t="shared" ca="1" si="21"/>
        <v>0</v>
      </c>
      <c r="I111" s="55">
        <f t="shared" ca="1" si="22"/>
        <v>0</v>
      </c>
      <c r="J111" s="55">
        <f t="shared" ref="J111:J142" ca="1" si="25">IF(H111=0,0,TableSearch(H111,arrayspace,$G$3,$F$3))</f>
        <v>0</v>
      </c>
      <c r="K111" s="55">
        <f t="shared" ca="1" si="23"/>
        <v>0</v>
      </c>
    </row>
    <row r="112" spans="1:11" x14ac:dyDescent="0.25">
      <c r="A112" t="str">
        <f t="shared" ca="1" si="15"/>
        <v/>
      </c>
      <c r="B112" t="str">
        <f t="shared" ca="1" si="16"/>
        <v/>
      </c>
      <c r="C112" t="str">
        <f t="shared" ca="1" si="17"/>
        <v/>
      </c>
      <c r="D112" t="str">
        <f t="shared" ca="1" si="18"/>
        <v/>
      </c>
      <c r="E112" t="str">
        <f t="shared" ca="1" si="19"/>
        <v/>
      </c>
      <c r="F112" s="55" t="str">
        <f t="shared" si="24"/>
        <v>D 2</v>
      </c>
      <c r="G112" s="55">
        <f t="shared" ca="1" si="20"/>
        <v>0</v>
      </c>
      <c r="H112" s="55">
        <f t="shared" ref="H112:H142" ca="1" si="26">IF(H111=0,0,MAX(INDIRECT("i"&amp;MATCH(H111,I:I,)+1&amp;":i142")))</f>
        <v>0</v>
      </c>
      <c r="I112" s="55">
        <f t="shared" ca="1" si="22"/>
        <v>0</v>
      </c>
      <c r="J112" s="55">
        <f t="shared" ca="1" si="25"/>
        <v>0</v>
      </c>
      <c r="K112" s="55">
        <f t="shared" ca="1" si="23"/>
        <v>0</v>
      </c>
    </row>
    <row r="113" spans="1:11" x14ac:dyDescent="0.25">
      <c r="A113" t="str">
        <f t="shared" ca="1" si="15"/>
        <v/>
      </c>
      <c r="B113" t="str">
        <f t="shared" ca="1" si="16"/>
        <v/>
      </c>
      <c r="C113" t="str">
        <f t="shared" ca="1" si="17"/>
        <v/>
      </c>
      <c r="D113" t="str">
        <f t="shared" ca="1" si="18"/>
        <v/>
      </c>
      <c r="E113" t="str">
        <f t="shared" ca="1" si="19"/>
        <v/>
      </c>
      <c r="F113" s="55" t="str">
        <f t="shared" si="24"/>
        <v>D 3</v>
      </c>
      <c r="G113" s="55">
        <f t="shared" ca="1" si="20"/>
        <v>0</v>
      </c>
      <c r="H113" s="55">
        <f t="shared" ca="1" si="26"/>
        <v>0</v>
      </c>
      <c r="I113" s="55">
        <f t="shared" ca="1" si="22"/>
        <v>0</v>
      </c>
      <c r="J113" s="55">
        <f t="shared" ca="1" si="25"/>
        <v>0</v>
      </c>
      <c r="K113" s="55">
        <f t="shared" ca="1" si="23"/>
        <v>0</v>
      </c>
    </row>
    <row r="114" spans="1:11" x14ac:dyDescent="0.25">
      <c r="A114" t="str">
        <f t="shared" ca="1" si="15"/>
        <v/>
      </c>
      <c r="B114" t="str">
        <f t="shared" ca="1" si="16"/>
        <v/>
      </c>
      <c r="C114" t="str">
        <f t="shared" ca="1" si="17"/>
        <v/>
      </c>
      <c r="D114" t="str">
        <f t="shared" ca="1" si="18"/>
        <v/>
      </c>
      <c r="E114" t="str">
        <f t="shared" ca="1" si="19"/>
        <v/>
      </c>
      <c r="F114" s="55" t="str">
        <f t="shared" si="24"/>
        <v>D 4</v>
      </c>
      <c r="G114" s="55">
        <f t="shared" ca="1" si="20"/>
        <v>0</v>
      </c>
      <c r="H114" s="55">
        <f t="shared" ca="1" si="26"/>
        <v>0</v>
      </c>
      <c r="I114" s="55">
        <f t="shared" ca="1" si="22"/>
        <v>0</v>
      </c>
      <c r="J114" s="55">
        <f t="shared" ca="1" si="25"/>
        <v>0</v>
      </c>
      <c r="K114" s="55">
        <f t="shared" ca="1" si="23"/>
        <v>0</v>
      </c>
    </row>
    <row r="115" spans="1:11" x14ac:dyDescent="0.25">
      <c r="A115" t="str">
        <f t="shared" ca="1" si="15"/>
        <v/>
      </c>
      <c r="B115" t="str">
        <f t="shared" ca="1" si="16"/>
        <v/>
      </c>
      <c r="C115" t="str">
        <f t="shared" ca="1" si="17"/>
        <v/>
      </c>
      <c r="D115" t="str">
        <f t="shared" ca="1" si="18"/>
        <v/>
      </c>
      <c r="E115" t="str">
        <f t="shared" ca="1" si="19"/>
        <v/>
      </c>
      <c r="F115" s="55" t="str">
        <f t="shared" si="24"/>
        <v>D 5</v>
      </c>
      <c r="G115" s="55">
        <f t="shared" ca="1" si="20"/>
        <v>0</v>
      </c>
      <c r="H115" s="55">
        <f t="shared" ca="1" si="26"/>
        <v>0</v>
      </c>
      <c r="I115" s="55">
        <f t="shared" ca="1" si="22"/>
        <v>0</v>
      </c>
      <c r="J115" s="55">
        <f t="shared" ca="1" si="25"/>
        <v>0</v>
      </c>
      <c r="K115" s="55">
        <f t="shared" ca="1" si="23"/>
        <v>0</v>
      </c>
    </row>
    <row r="116" spans="1:11" x14ac:dyDescent="0.25">
      <c r="A116" t="str">
        <f t="shared" ca="1" si="15"/>
        <v/>
      </c>
      <c r="B116" t="str">
        <f t="shared" ca="1" si="16"/>
        <v/>
      </c>
      <c r="C116" t="str">
        <f t="shared" ca="1" si="17"/>
        <v/>
      </c>
      <c r="D116" t="str">
        <f t="shared" ca="1" si="18"/>
        <v/>
      </c>
      <c r="E116" t="str">
        <f t="shared" ca="1" si="19"/>
        <v/>
      </c>
      <c r="F116" s="55" t="str">
        <f t="shared" si="24"/>
        <v>D 6</v>
      </c>
      <c r="G116" s="55">
        <f t="shared" ca="1" si="20"/>
        <v>0</v>
      </c>
      <c r="H116" s="55">
        <f t="shared" ca="1" si="26"/>
        <v>0</v>
      </c>
      <c r="I116" s="55">
        <f t="shared" ca="1" si="22"/>
        <v>0</v>
      </c>
      <c r="J116" s="55">
        <f t="shared" ca="1" si="25"/>
        <v>0</v>
      </c>
      <c r="K116" s="55">
        <f t="shared" ca="1" si="23"/>
        <v>0</v>
      </c>
    </row>
    <row r="117" spans="1:11" x14ac:dyDescent="0.25">
      <c r="A117" t="str">
        <f t="shared" ca="1" si="15"/>
        <v/>
      </c>
      <c r="B117" t="str">
        <f t="shared" ca="1" si="16"/>
        <v/>
      </c>
      <c r="C117" t="str">
        <f t="shared" ca="1" si="17"/>
        <v/>
      </c>
      <c r="D117" t="str">
        <f t="shared" ca="1" si="18"/>
        <v/>
      </c>
      <c r="E117" t="str">
        <f t="shared" ca="1" si="19"/>
        <v/>
      </c>
      <c r="F117" s="55" t="str">
        <f t="shared" si="24"/>
        <v>D 7</v>
      </c>
      <c r="G117" s="55">
        <f t="shared" ca="1" si="20"/>
        <v>0</v>
      </c>
      <c r="H117" s="55">
        <f t="shared" ca="1" si="26"/>
        <v>0</v>
      </c>
      <c r="I117" s="55">
        <f t="shared" ca="1" si="22"/>
        <v>0</v>
      </c>
      <c r="J117" s="55">
        <f t="shared" ca="1" si="25"/>
        <v>0</v>
      </c>
      <c r="K117" s="55">
        <f t="shared" ca="1" si="23"/>
        <v>0</v>
      </c>
    </row>
    <row r="118" spans="1:11" x14ac:dyDescent="0.25">
      <c r="A118" t="str">
        <f t="shared" ca="1" si="15"/>
        <v/>
      </c>
      <c r="B118" t="str">
        <f t="shared" ca="1" si="16"/>
        <v/>
      </c>
      <c r="C118" t="str">
        <f t="shared" ca="1" si="17"/>
        <v/>
      </c>
      <c r="D118" t="str">
        <f t="shared" ca="1" si="18"/>
        <v/>
      </c>
      <c r="E118" t="str">
        <f t="shared" ca="1" si="19"/>
        <v/>
      </c>
      <c r="F118" s="55" t="str">
        <f t="shared" si="24"/>
        <v>D 8</v>
      </c>
      <c r="G118" s="55">
        <f t="shared" ca="1" si="20"/>
        <v>0</v>
      </c>
      <c r="H118" s="55">
        <f t="shared" ca="1" si="26"/>
        <v>0</v>
      </c>
      <c r="I118" s="55">
        <f t="shared" ca="1" si="22"/>
        <v>0</v>
      </c>
      <c r="J118" s="55">
        <f t="shared" ca="1" si="25"/>
        <v>0</v>
      </c>
      <c r="K118" s="55">
        <f t="shared" ca="1" si="23"/>
        <v>0</v>
      </c>
    </row>
    <row r="119" spans="1:11" x14ac:dyDescent="0.25">
      <c r="A119" t="str">
        <f t="shared" ca="1" si="15"/>
        <v/>
      </c>
      <c r="B119" t="str">
        <f t="shared" ca="1" si="16"/>
        <v/>
      </c>
      <c r="C119" t="str">
        <f t="shared" ca="1" si="17"/>
        <v/>
      </c>
      <c r="D119" t="str">
        <f t="shared" ca="1" si="18"/>
        <v/>
      </c>
      <c r="E119" t="str">
        <f t="shared" ca="1" si="19"/>
        <v/>
      </c>
      <c r="F119" s="55" t="str">
        <f t="shared" si="24"/>
        <v>D 9</v>
      </c>
      <c r="G119" s="55">
        <f t="shared" ca="1" si="20"/>
        <v>0</v>
      </c>
      <c r="H119" s="55">
        <f t="shared" ca="1" si="26"/>
        <v>0</v>
      </c>
      <c r="I119" s="55">
        <f t="shared" ca="1" si="22"/>
        <v>0</v>
      </c>
      <c r="J119" s="55">
        <f t="shared" ca="1" si="25"/>
        <v>0</v>
      </c>
      <c r="K119" s="55">
        <f t="shared" ca="1" si="23"/>
        <v>0</v>
      </c>
    </row>
    <row r="120" spans="1:11" x14ac:dyDescent="0.25">
      <c r="A120" t="str">
        <f t="shared" ca="1" si="15"/>
        <v/>
      </c>
      <c r="B120" t="str">
        <f t="shared" ca="1" si="16"/>
        <v/>
      </c>
      <c r="C120" t="str">
        <f t="shared" ca="1" si="17"/>
        <v/>
      </c>
      <c r="D120" t="str">
        <f t="shared" ca="1" si="18"/>
        <v/>
      </c>
      <c r="E120" t="str">
        <f t="shared" ca="1" si="19"/>
        <v/>
      </c>
      <c r="F120" s="55" t="str">
        <f t="shared" si="24"/>
        <v>D 10</v>
      </c>
      <c r="G120" s="55">
        <f t="shared" ca="1" si="20"/>
        <v>0</v>
      </c>
      <c r="H120" s="55">
        <f t="shared" ca="1" si="26"/>
        <v>0</v>
      </c>
      <c r="I120" s="55">
        <f t="shared" ca="1" si="22"/>
        <v>0</v>
      </c>
      <c r="J120" s="55">
        <f t="shared" ca="1" si="25"/>
        <v>0</v>
      </c>
      <c r="K120" s="55">
        <f t="shared" ca="1" si="23"/>
        <v>0</v>
      </c>
    </row>
    <row r="121" spans="1:11" x14ac:dyDescent="0.25">
      <c r="A121" t="str">
        <f t="shared" ca="1" si="15"/>
        <v/>
      </c>
      <c r="B121" t="str">
        <f t="shared" ca="1" si="16"/>
        <v/>
      </c>
      <c r="C121" t="str">
        <f t="shared" ca="1" si="17"/>
        <v/>
      </c>
      <c r="D121" t="str">
        <f t="shared" ca="1" si="18"/>
        <v/>
      </c>
      <c r="E121" t="str">
        <f t="shared" ca="1" si="19"/>
        <v/>
      </c>
      <c r="F121" s="55" t="str">
        <f t="shared" si="24"/>
        <v>D 11</v>
      </c>
      <c r="G121" s="55">
        <f t="shared" ca="1" si="20"/>
        <v>0</v>
      </c>
      <c r="H121" s="55">
        <f t="shared" ca="1" si="26"/>
        <v>0</v>
      </c>
      <c r="I121" s="55">
        <f t="shared" ca="1" si="22"/>
        <v>0</v>
      </c>
      <c r="J121" s="55">
        <f t="shared" ca="1" si="25"/>
        <v>0</v>
      </c>
      <c r="K121" s="55">
        <f t="shared" ca="1" si="23"/>
        <v>0</v>
      </c>
    </row>
    <row r="122" spans="1:11" x14ac:dyDescent="0.25">
      <c r="A122" t="str">
        <f t="shared" ca="1" si="15"/>
        <v/>
      </c>
      <c r="B122" t="str">
        <f t="shared" ca="1" si="16"/>
        <v/>
      </c>
      <c r="C122" t="str">
        <f t="shared" ca="1" si="17"/>
        <v/>
      </c>
      <c r="D122" t="str">
        <f t="shared" ca="1" si="18"/>
        <v/>
      </c>
      <c r="E122" t="str">
        <f t="shared" ca="1" si="19"/>
        <v/>
      </c>
      <c r="F122" s="55" t="str">
        <f t="shared" si="24"/>
        <v>D 12</v>
      </c>
      <c r="G122" s="55">
        <f t="shared" ca="1" si="20"/>
        <v>0</v>
      </c>
      <c r="H122" s="55">
        <f t="shared" ca="1" si="26"/>
        <v>0</v>
      </c>
      <c r="I122" s="55">
        <f t="shared" ca="1" si="22"/>
        <v>0</v>
      </c>
      <c r="J122" s="55">
        <f t="shared" ca="1" si="25"/>
        <v>0</v>
      </c>
      <c r="K122" s="55">
        <f t="shared" ca="1" si="23"/>
        <v>0</v>
      </c>
    </row>
    <row r="123" spans="1:11" x14ac:dyDescent="0.25">
      <c r="A123" t="str">
        <f t="shared" ref="A123:A142" ca="1" si="27">IF(H123=0,"",VALUE(LEFT(J123,FIND(",",J123)-1)))</f>
        <v/>
      </c>
      <c r="B123" t="str">
        <f t="shared" ref="B123:B142" ca="1" si="28">IF(H123=0,"",ABS(MID(J123,FIND(",",J123)+1,3)))</f>
        <v/>
      </c>
      <c r="C123" t="str">
        <f t="shared" ca="1" si="17"/>
        <v/>
      </c>
      <c r="D123" t="str">
        <f t="shared" ca="1" si="18"/>
        <v/>
      </c>
      <c r="E123" t="str">
        <f t="shared" ca="1" si="19"/>
        <v/>
      </c>
      <c r="F123" s="55" t="str">
        <f t="shared" si="24"/>
        <v>D 13</v>
      </c>
      <c r="G123" s="55">
        <f t="shared" ca="1" si="20"/>
        <v>0</v>
      </c>
      <c r="H123" s="55">
        <f t="shared" ca="1" si="26"/>
        <v>0</v>
      </c>
      <c r="I123" s="55">
        <f t="shared" ca="1" si="22"/>
        <v>0</v>
      </c>
      <c r="J123" s="55">
        <f t="shared" ca="1" si="25"/>
        <v>0</v>
      </c>
      <c r="K123" s="55">
        <f t="shared" ca="1" si="23"/>
        <v>0</v>
      </c>
    </row>
    <row r="124" spans="1:11" x14ac:dyDescent="0.25">
      <c r="A124" t="str">
        <f t="shared" ca="1" si="27"/>
        <v/>
      </c>
      <c r="B124" t="str">
        <f t="shared" ca="1" si="28"/>
        <v/>
      </c>
      <c r="C124" t="str">
        <f t="shared" ca="1" si="17"/>
        <v/>
      </c>
      <c r="D124" t="str">
        <f t="shared" ca="1" si="18"/>
        <v/>
      </c>
      <c r="E124" t="str">
        <f t="shared" ca="1" si="19"/>
        <v/>
      </c>
      <c r="F124" s="55" t="str">
        <f t="shared" si="24"/>
        <v>D 14</v>
      </c>
      <c r="G124" s="55">
        <f t="shared" ca="1" si="20"/>
        <v>0</v>
      </c>
      <c r="H124" s="55">
        <f t="shared" ca="1" si="26"/>
        <v>0</v>
      </c>
      <c r="I124" s="55">
        <f t="shared" ca="1" si="22"/>
        <v>0</v>
      </c>
      <c r="J124" s="55">
        <f t="shared" ca="1" si="25"/>
        <v>0</v>
      </c>
      <c r="K124" s="55">
        <f t="shared" ca="1" si="23"/>
        <v>0</v>
      </c>
    </row>
    <row r="125" spans="1:11" x14ac:dyDescent="0.25">
      <c r="A125" t="str">
        <f t="shared" ca="1" si="27"/>
        <v/>
      </c>
      <c r="B125" t="str">
        <f t="shared" ca="1" si="28"/>
        <v/>
      </c>
      <c r="C125" t="str">
        <f t="shared" ca="1" si="17"/>
        <v/>
      </c>
      <c r="D125" t="str">
        <f t="shared" ca="1" si="18"/>
        <v/>
      </c>
      <c r="E125" t="str">
        <f t="shared" ca="1" si="19"/>
        <v/>
      </c>
      <c r="F125" s="55" t="str">
        <f t="shared" si="24"/>
        <v>D 15</v>
      </c>
      <c r="G125" s="55">
        <f t="shared" ca="1" si="20"/>
        <v>0</v>
      </c>
      <c r="H125" s="55">
        <f t="shared" ca="1" si="26"/>
        <v>0</v>
      </c>
      <c r="I125" s="55">
        <f t="shared" ca="1" si="22"/>
        <v>0</v>
      </c>
      <c r="J125" s="55">
        <f t="shared" ca="1" si="25"/>
        <v>0</v>
      </c>
      <c r="K125" s="55">
        <f t="shared" ca="1" si="23"/>
        <v>0</v>
      </c>
    </row>
    <row r="126" spans="1:11" x14ac:dyDescent="0.25">
      <c r="A126" t="str">
        <f t="shared" ca="1" si="27"/>
        <v/>
      </c>
      <c r="B126" t="str">
        <f t="shared" ca="1" si="28"/>
        <v/>
      </c>
      <c r="C126" t="str">
        <f t="shared" ca="1" si="17"/>
        <v/>
      </c>
      <c r="D126" t="str">
        <f t="shared" ca="1" si="18"/>
        <v/>
      </c>
      <c r="E126" t="str">
        <f t="shared" ca="1" si="19"/>
        <v/>
      </c>
      <c r="F126" s="55" t="str">
        <f t="shared" si="24"/>
        <v>D 16</v>
      </c>
      <c r="G126" s="55">
        <f t="shared" ca="1" si="20"/>
        <v>0</v>
      </c>
      <c r="H126" s="55">
        <f t="shared" ca="1" si="26"/>
        <v>0</v>
      </c>
      <c r="I126" s="55">
        <f t="shared" ca="1" si="22"/>
        <v>0</v>
      </c>
      <c r="J126" s="55">
        <f t="shared" ca="1" si="25"/>
        <v>0</v>
      </c>
      <c r="K126" s="55">
        <f t="shared" ca="1" si="23"/>
        <v>0</v>
      </c>
    </row>
    <row r="127" spans="1:11" x14ac:dyDescent="0.25">
      <c r="A127" t="str">
        <f t="shared" ca="1" si="27"/>
        <v/>
      </c>
      <c r="B127" t="str">
        <f t="shared" ca="1" si="28"/>
        <v/>
      </c>
      <c r="C127" t="str">
        <f t="shared" ca="1" si="17"/>
        <v/>
      </c>
      <c r="D127" t="str">
        <f t="shared" ca="1" si="18"/>
        <v/>
      </c>
      <c r="E127" t="str">
        <f t="shared" ca="1" si="19"/>
        <v/>
      </c>
      <c r="F127" s="55" t="str">
        <f t="shared" si="24"/>
        <v>D 17</v>
      </c>
      <c r="G127" s="55">
        <f t="shared" ca="1" si="20"/>
        <v>0</v>
      </c>
      <c r="H127" s="55">
        <f t="shared" ca="1" si="26"/>
        <v>0</v>
      </c>
      <c r="I127" s="55">
        <f t="shared" ca="1" si="22"/>
        <v>0</v>
      </c>
      <c r="J127" s="55">
        <f t="shared" ca="1" si="25"/>
        <v>0</v>
      </c>
      <c r="K127" s="55">
        <f t="shared" ca="1" si="23"/>
        <v>0</v>
      </c>
    </row>
    <row r="128" spans="1:11" x14ac:dyDescent="0.25">
      <c r="A128" t="str">
        <f t="shared" ca="1" si="27"/>
        <v/>
      </c>
      <c r="B128" t="str">
        <f t="shared" ca="1" si="28"/>
        <v/>
      </c>
      <c r="C128" t="str">
        <f t="shared" ca="1" si="17"/>
        <v/>
      </c>
      <c r="D128" t="str">
        <f t="shared" ca="1" si="18"/>
        <v/>
      </c>
      <c r="E128" t="str">
        <f t="shared" ca="1" si="19"/>
        <v/>
      </c>
      <c r="F128" s="55" t="str">
        <f t="shared" si="24"/>
        <v>D 18</v>
      </c>
      <c r="G128" s="55">
        <f t="shared" ca="1" si="20"/>
        <v>0</v>
      </c>
      <c r="H128" s="55">
        <f t="shared" ca="1" si="26"/>
        <v>0</v>
      </c>
      <c r="I128" s="55">
        <f t="shared" ca="1" si="22"/>
        <v>0</v>
      </c>
      <c r="J128" s="55">
        <f t="shared" ca="1" si="25"/>
        <v>0</v>
      </c>
      <c r="K128" s="55">
        <f t="shared" ca="1" si="23"/>
        <v>0</v>
      </c>
    </row>
    <row r="129" spans="1:11" x14ac:dyDescent="0.25">
      <c r="A129" t="str">
        <f t="shared" ca="1" si="27"/>
        <v/>
      </c>
      <c r="B129" t="str">
        <f t="shared" ca="1" si="28"/>
        <v/>
      </c>
      <c r="C129" t="str">
        <f t="shared" ca="1" si="17"/>
        <v/>
      </c>
      <c r="D129" t="str">
        <f t="shared" ca="1" si="18"/>
        <v/>
      </c>
      <c r="E129" t="str">
        <f t="shared" ca="1" si="19"/>
        <v/>
      </c>
      <c r="F129" s="55" t="str">
        <f t="shared" si="24"/>
        <v>D 19</v>
      </c>
      <c r="G129" s="55">
        <f t="shared" ca="1" si="20"/>
        <v>0</v>
      </c>
      <c r="H129" s="55">
        <f t="shared" ca="1" si="26"/>
        <v>0</v>
      </c>
      <c r="I129" s="55">
        <f t="shared" ca="1" si="22"/>
        <v>0</v>
      </c>
      <c r="J129" s="55">
        <f t="shared" ca="1" si="25"/>
        <v>0</v>
      </c>
      <c r="K129" s="55">
        <f t="shared" ca="1" si="23"/>
        <v>0</v>
      </c>
    </row>
    <row r="130" spans="1:11" x14ac:dyDescent="0.25">
      <c r="A130" t="str">
        <f t="shared" ca="1" si="27"/>
        <v/>
      </c>
      <c r="B130" t="str">
        <f t="shared" ca="1" si="28"/>
        <v/>
      </c>
      <c r="C130" t="str">
        <f t="shared" ca="1" si="17"/>
        <v/>
      </c>
      <c r="D130" t="str">
        <f t="shared" ca="1" si="18"/>
        <v/>
      </c>
      <c r="E130" t="str">
        <f t="shared" ca="1" si="19"/>
        <v/>
      </c>
      <c r="F130" s="55" t="str">
        <f t="shared" si="24"/>
        <v>D 20</v>
      </c>
      <c r="G130" s="55">
        <f t="shared" ca="1" si="20"/>
        <v>0</v>
      </c>
      <c r="H130" s="55">
        <f t="shared" ca="1" si="26"/>
        <v>0</v>
      </c>
      <c r="I130" s="55">
        <f t="shared" ca="1" si="22"/>
        <v>0</v>
      </c>
      <c r="J130" s="55">
        <f t="shared" ca="1" si="25"/>
        <v>0</v>
      </c>
      <c r="K130" s="55">
        <f t="shared" ca="1" si="23"/>
        <v>0</v>
      </c>
    </row>
    <row r="131" spans="1:11" x14ac:dyDescent="0.25">
      <c r="A131" t="str">
        <f t="shared" ca="1" si="27"/>
        <v/>
      </c>
      <c r="B131" t="str">
        <f t="shared" ca="1" si="28"/>
        <v/>
      </c>
      <c r="C131" t="str">
        <f t="shared" ca="1" si="17"/>
        <v/>
      </c>
      <c r="D131" t="str">
        <f t="shared" ca="1" si="18"/>
        <v/>
      </c>
      <c r="E131" t="str">
        <f t="shared" ca="1" si="19"/>
        <v/>
      </c>
      <c r="F131" s="55" t="str">
        <f t="shared" si="24"/>
        <v>D 21</v>
      </c>
      <c r="G131" s="55">
        <f t="shared" ca="1" si="20"/>
        <v>0</v>
      </c>
      <c r="H131" s="55">
        <f t="shared" ca="1" si="26"/>
        <v>0</v>
      </c>
      <c r="I131" s="55">
        <f t="shared" ca="1" si="22"/>
        <v>0</v>
      </c>
      <c r="J131" s="55">
        <f t="shared" ca="1" si="25"/>
        <v>0</v>
      </c>
      <c r="K131" s="55">
        <f t="shared" ca="1" si="23"/>
        <v>0</v>
      </c>
    </row>
    <row r="132" spans="1:11" x14ac:dyDescent="0.25">
      <c r="A132" t="str">
        <f t="shared" ca="1" si="27"/>
        <v/>
      </c>
      <c r="B132" t="str">
        <f t="shared" ca="1" si="28"/>
        <v/>
      </c>
      <c r="C132" t="str">
        <f t="shared" ca="1" si="17"/>
        <v/>
      </c>
      <c r="D132" t="str">
        <f t="shared" ca="1" si="18"/>
        <v/>
      </c>
      <c r="E132" t="str">
        <f t="shared" ca="1" si="19"/>
        <v/>
      </c>
      <c r="F132" s="55" t="str">
        <f t="shared" si="24"/>
        <v>D 22</v>
      </c>
      <c r="G132" s="55">
        <f t="shared" ca="1" si="20"/>
        <v>0</v>
      </c>
      <c r="H132" s="55">
        <f t="shared" ca="1" si="26"/>
        <v>0</v>
      </c>
      <c r="I132" s="55">
        <f t="shared" ca="1" si="22"/>
        <v>0</v>
      </c>
      <c r="J132" s="55">
        <f t="shared" ca="1" si="25"/>
        <v>0</v>
      </c>
      <c r="K132" s="55">
        <f t="shared" ca="1" si="23"/>
        <v>0</v>
      </c>
    </row>
    <row r="133" spans="1:11" x14ac:dyDescent="0.25">
      <c r="A133" t="str">
        <f t="shared" ca="1" si="27"/>
        <v/>
      </c>
      <c r="B133" t="str">
        <f t="shared" ca="1" si="28"/>
        <v/>
      </c>
      <c r="C133" t="str">
        <f t="shared" ca="1" si="17"/>
        <v/>
      </c>
      <c r="D133" t="str">
        <f t="shared" ca="1" si="18"/>
        <v/>
      </c>
      <c r="E133" t="str">
        <f t="shared" ca="1" si="19"/>
        <v/>
      </c>
      <c r="F133" s="55" t="str">
        <f t="shared" si="24"/>
        <v>D 23</v>
      </c>
      <c r="G133" s="55">
        <f t="shared" ca="1" si="20"/>
        <v>0</v>
      </c>
      <c r="H133" s="55">
        <f t="shared" ca="1" si="26"/>
        <v>0</v>
      </c>
      <c r="I133" s="55">
        <f t="shared" ca="1" si="22"/>
        <v>0</v>
      </c>
      <c r="J133" s="55">
        <f t="shared" ca="1" si="25"/>
        <v>0</v>
      </c>
      <c r="K133" s="55">
        <f t="shared" ca="1" si="23"/>
        <v>0</v>
      </c>
    </row>
    <row r="134" spans="1:11" x14ac:dyDescent="0.25">
      <c r="A134" t="str">
        <f t="shared" ca="1" si="27"/>
        <v/>
      </c>
      <c r="B134" t="str">
        <f t="shared" ca="1" si="28"/>
        <v/>
      </c>
      <c r="C134" t="str">
        <f t="shared" ca="1" si="17"/>
        <v/>
      </c>
      <c r="D134" t="str">
        <f t="shared" ca="1" si="18"/>
        <v/>
      </c>
      <c r="E134" t="str">
        <f t="shared" ca="1" si="19"/>
        <v/>
      </c>
      <c r="F134" s="55" t="str">
        <f t="shared" si="24"/>
        <v>D 24</v>
      </c>
      <c r="G134" s="55">
        <f t="shared" ca="1" si="20"/>
        <v>0</v>
      </c>
      <c r="H134" s="55">
        <f t="shared" ca="1" si="26"/>
        <v>0</v>
      </c>
      <c r="I134" s="55">
        <f t="shared" ca="1" si="22"/>
        <v>0</v>
      </c>
      <c r="J134" s="55">
        <f t="shared" ca="1" si="25"/>
        <v>0</v>
      </c>
      <c r="K134" s="55">
        <f t="shared" ca="1" si="23"/>
        <v>0</v>
      </c>
    </row>
    <row r="135" spans="1:11" x14ac:dyDescent="0.25">
      <c r="A135" t="str">
        <f t="shared" ca="1" si="27"/>
        <v/>
      </c>
      <c r="B135" t="str">
        <f t="shared" ca="1" si="28"/>
        <v/>
      </c>
      <c r="C135" t="str">
        <f t="shared" ca="1" si="17"/>
        <v/>
      </c>
      <c r="D135" t="str">
        <f t="shared" ca="1" si="18"/>
        <v/>
      </c>
      <c r="E135" t="str">
        <f t="shared" ca="1" si="19"/>
        <v/>
      </c>
      <c r="F135" s="55" t="str">
        <f t="shared" si="24"/>
        <v>D 25</v>
      </c>
      <c r="G135" s="55">
        <f t="shared" ca="1" si="20"/>
        <v>0</v>
      </c>
      <c r="H135" s="55">
        <f t="shared" ca="1" si="26"/>
        <v>0</v>
      </c>
      <c r="I135" s="55">
        <f t="shared" ca="1" si="22"/>
        <v>0</v>
      </c>
      <c r="J135" s="55">
        <f t="shared" ca="1" si="25"/>
        <v>0</v>
      </c>
      <c r="K135" s="55">
        <f t="shared" ca="1" si="23"/>
        <v>0</v>
      </c>
    </row>
    <row r="136" spans="1:11" x14ac:dyDescent="0.25">
      <c r="A136" t="str">
        <f t="shared" ca="1" si="27"/>
        <v/>
      </c>
      <c r="B136" t="str">
        <f t="shared" ca="1" si="28"/>
        <v/>
      </c>
      <c r="C136" t="str">
        <f t="shared" ca="1" si="17"/>
        <v/>
      </c>
      <c r="D136" t="str">
        <f t="shared" ca="1" si="18"/>
        <v/>
      </c>
      <c r="E136" t="str">
        <f t="shared" ca="1" si="19"/>
        <v/>
      </c>
      <c r="F136" s="55" t="str">
        <f t="shared" si="24"/>
        <v>D 26</v>
      </c>
      <c r="G136" s="55">
        <f t="shared" ca="1" si="20"/>
        <v>0</v>
      </c>
      <c r="H136" s="55">
        <f t="shared" ca="1" si="26"/>
        <v>0</v>
      </c>
      <c r="I136" s="55">
        <f t="shared" ca="1" si="22"/>
        <v>0</v>
      </c>
      <c r="J136" s="55">
        <f t="shared" ca="1" si="25"/>
        <v>0</v>
      </c>
      <c r="K136" s="55">
        <f t="shared" ca="1" si="23"/>
        <v>0</v>
      </c>
    </row>
    <row r="137" spans="1:11" x14ac:dyDescent="0.25">
      <c r="A137" t="str">
        <f t="shared" ca="1" si="27"/>
        <v/>
      </c>
      <c r="B137" t="str">
        <f t="shared" ca="1" si="28"/>
        <v/>
      </c>
      <c r="C137" t="str">
        <f t="shared" ca="1" si="17"/>
        <v/>
      </c>
      <c r="D137" t="str">
        <f t="shared" ca="1" si="18"/>
        <v/>
      </c>
      <c r="E137" t="str">
        <f t="shared" ca="1" si="19"/>
        <v/>
      </c>
      <c r="F137" s="55" t="str">
        <f t="shared" si="24"/>
        <v>D 27</v>
      </c>
      <c r="G137" s="55">
        <f t="shared" ca="1" si="20"/>
        <v>0</v>
      </c>
      <c r="H137" s="55">
        <f t="shared" ca="1" si="26"/>
        <v>0</v>
      </c>
      <c r="I137" s="55">
        <f t="shared" ca="1" si="22"/>
        <v>0</v>
      </c>
      <c r="J137" s="55">
        <f t="shared" ca="1" si="25"/>
        <v>0</v>
      </c>
      <c r="K137" s="55">
        <f t="shared" ca="1" si="23"/>
        <v>0</v>
      </c>
    </row>
    <row r="138" spans="1:11" x14ac:dyDescent="0.25">
      <c r="A138" t="str">
        <f t="shared" ca="1" si="27"/>
        <v/>
      </c>
      <c r="B138" t="str">
        <f t="shared" ca="1" si="28"/>
        <v/>
      </c>
      <c r="C138" t="str">
        <f t="shared" ca="1" si="17"/>
        <v/>
      </c>
      <c r="D138" t="str">
        <f t="shared" ca="1" si="18"/>
        <v/>
      </c>
      <c r="E138" t="str">
        <f t="shared" ca="1" si="19"/>
        <v/>
      </c>
      <c r="F138" s="55" t="str">
        <f t="shared" si="24"/>
        <v>D 28</v>
      </c>
      <c r="G138" s="55">
        <f t="shared" ca="1" si="20"/>
        <v>0</v>
      </c>
      <c r="H138" s="55">
        <f t="shared" ca="1" si="26"/>
        <v>0</v>
      </c>
      <c r="I138" s="55">
        <f t="shared" ca="1" si="22"/>
        <v>0</v>
      </c>
      <c r="J138" s="55">
        <f t="shared" ca="1" si="25"/>
        <v>0</v>
      </c>
      <c r="K138" s="55">
        <f t="shared" ca="1" si="23"/>
        <v>0</v>
      </c>
    </row>
    <row r="139" spans="1:11" x14ac:dyDescent="0.25">
      <c r="A139" t="str">
        <f t="shared" ca="1" si="27"/>
        <v/>
      </c>
      <c r="B139" t="str">
        <f t="shared" ca="1" si="28"/>
        <v/>
      </c>
      <c r="C139" t="str">
        <f t="shared" ca="1" si="17"/>
        <v/>
      </c>
      <c r="D139" t="str">
        <f t="shared" ca="1" si="18"/>
        <v/>
      </c>
      <c r="E139" t="str">
        <f t="shared" ca="1" si="19"/>
        <v/>
      </c>
      <c r="F139" s="55" t="str">
        <f t="shared" si="24"/>
        <v>D 29</v>
      </c>
      <c r="G139" s="55">
        <f t="shared" ca="1" si="20"/>
        <v>0</v>
      </c>
      <c r="H139" s="55">
        <f t="shared" ca="1" si="26"/>
        <v>0</v>
      </c>
      <c r="I139" s="55">
        <f t="shared" ca="1" si="22"/>
        <v>0</v>
      </c>
      <c r="J139" s="55">
        <f t="shared" ca="1" si="25"/>
        <v>0</v>
      </c>
      <c r="K139" s="55">
        <f t="shared" ca="1" si="23"/>
        <v>0</v>
      </c>
    </row>
    <row r="140" spans="1:11" x14ac:dyDescent="0.25">
      <c r="A140" t="str">
        <f t="shared" ca="1" si="27"/>
        <v/>
      </c>
      <c r="B140" t="str">
        <f t="shared" ca="1" si="28"/>
        <v/>
      </c>
      <c r="C140" t="str">
        <f t="shared" ca="1" si="17"/>
        <v/>
      </c>
      <c r="D140" t="str">
        <f t="shared" ca="1" si="18"/>
        <v/>
      </c>
      <c r="E140" t="str">
        <f t="shared" ca="1" si="19"/>
        <v/>
      </c>
      <c r="F140" s="55" t="str">
        <f t="shared" si="24"/>
        <v>D 30</v>
      </c>
      <c r="G140" s="55">
        <f t="shared" ca="1" si="20"/>
        <v>0</v>
      </c>
      <c r="H140" s="55">
        <f t="shared" ca="1" si="26"/>
        <v>0</v>
      </c>
      <c r="I140" s="55">
        <f t="shared" ca="1" si="22"/>
        <v>0</v>
      </c>
      <c r="J140" s="55">
        <f t="shared" ca="1" si="25"/>
        <v>0</v>
      </c>
      <c r="K140" s="55">
        <f t="shared" ca="1" si="23"/>
        <v>0</v>
      </c>
    </row>
    <row r="141" spans="1:11" x14ac:dyDescent="0.25">
      <c r="A141" t="str">
        <f t="shared" ca="1" si="27"/>
        <v/>
      </c>
      <c r="B141" t="str">
        <f t="shared" ca="1" si="28"/>
        <v/>
      </c>
      <c r="C141" t="str">
        <f t="shared" ca="1" si="17"/>
        <v/>
      </c>
      <c r="D141" t="str">
        <f t="shared" ca="1" si="18"/>
        <v/>
      </c>
      <c r="E141" t="str">
        <f t="shared" ca="1" si="19"/>
        <v/>
      </c>
      <c r="F141" s="55" t="str">
        <f t="shared" si="24"/>
        <v>D 31</v>
      </c>
      <c r="G141" s="55">
        <f t="shared" ca="1" si="20"/>
        <v>0</v>
      </c>
      <c r="H141" s="55">
        <f t="shared" ca="1" si="26"/>
        <v>0</v>
      </c>
      <c r="I141" s="55">
        <f t="shared" ca="1" si="22"/>
        <v>0</v>
      </c>
      <c r="J141" s="55">
        <f t="shared" ca="1" si="25"/>
        <v>0</v>
      </c>
      <c r="K141" s="55">
        <f t="shared" ca="1" si="23"/>
        <v>0</v>
      </c>
    </row>
    <row r="142" spans="1:11" x14ac:dyDescent="0.25">
      <c r="A142" t="str">
        <f t="shared" ca="1" si="27"/>
        <v/>
      </c>
      <c r="B142" t="str">
        <f t="shared" ca="1" si="28"/>
        <v/>
      </c>
      <c r="C142" t="str">
        <f t="shared" ca="1" si="17"/>
        <v/>
      </c>
      <c r="D142" t="str">
        <f t="shared" ca="1" si="18"/>
        <v/>
      </c>
      <c r="E142" t="str">
        <f t="shared" ca="1" si="19"/>
        <v/>
      </c>
      <c r="F142" s="55" t="str">
        <f t="shared" si="24"/>
        <v>D 32</v>
      </c>
      <c r="G142" s="55">
        <f t="shared" ca="1" si="20"/>
        <v>0</v>
      </c>
      <c r="H142" s="55">
        <f t="shared" ca="1" si="26"/>
        <v>0</v>
      </c>
      <c r="I142" s="55">
        <f t="shared" ca="1" si="22"/>
        <v>0</v>
      </c>
      <c r="J142" s="55">
        <f t="shared" ca="1" si="25"/>
        <v>0</v>
      </c>
      <c r="K142" s="55">
        <f t="shared" ca="1" si="23"/>
        <v>0</v>
      </c>
    </row>
  </sheetData>
  <customSheetViews>
    <customSheetView guid="{CEE82286-2DC3-4150-9989-30CF9F331A30}" hiddenColumns="1">
      <selection activeCell="E25" sqref="E25"/>
      <pageMargins left="0.7" right="0.7" top="0.5" bottom="0.5" header="0.3" footer="0.3"/>
      <pageSetup orientation="portrait" r:id="rId1"/>
      <headerFooter alignWithMargins="0"/>
    </customSheetView>
    <customSheetView guid="{4FF8E199-9DCD-4A1D-B440-7626F2F9D72A}" hiddenColumns="1">
      <selection activeCell="E25" sqref="E25"/>
      <pageMargins left="0.7" right="0.7" top="0.5" bottom="0.5" header="0.3" footer="0.3"/>
      <pageSetup orientation="portrait" r:id="rId2"/>
      <headerFooter alignWithMargins="0"/>
    </customSheetView>
  </customSheetViews>
  <phoneticPr fontId="15" type="noConversion"/>
  <pageMargins left="0.7" right="0.7" top="0.5" bottom="0.5" header="0.3" footer="0.3"/>
  <pageSetup orientation="portrait" r:id="rId3"/>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F26BEDCB525843B5B5DC10EBB5612F" ma:contentTypeVersion="12" ma:contentTypeDescription="Create a new document." ma:contentTypeScope="" ma:versionID="8d411e6cfd0f285a5feb680d8f0ad1b7">
  <xsd:schema xmlns:xsd="http://www.w3.org/2001/XMLSchema" xmlns:xs="http://www.w3.org/2001/XMLSchema" xmlns:p="http://schemas.microsoft.com/office/2006/metadata/properties" xmlns:ns2="aaf89de7-e90f-4498-b82f-cfd824fdf69f" xmlns:ns3="ca9fea46-22b1-4d83-8e0c-df112a487b05" targetNamespace="http://schemas.microsoft.com/office/2006/metadata/properties" ma:root="true" ma:fieldsID="b5dda81a7ca2b1e14aa775dc1ae69cd1" ns2:_="" ns3:_="">
    <xsd:import namespace="aaf89de7-e90f-4498-b82f-cfd824fdf69f"/>
    <xsd:import namespace="ca9fea46-22b1-4d83-8e0c-df112a487b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f89de7-e90f-4498-b82f-cfd824fdf6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9fea46-22b1-4d83-8e0c-df112a487b05"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C225666-125C-47BF-BCC5-E6322A225B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f89de7-e90f-4498-b82f-cfd824fdf69f"/>
    <ds:schemaRef ds:uri="ca9fea46-22b1-4d83-8e0c-df112a487b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09F7768-30A5-454F-8C3C-A3728AB61193}">
  <ds:schemaRefs>
    <ds:schemaRef ds:uri="http://schemas.microsoft.com/sharepoint/v3/contenttype/forms"/>
  </ds:schemaRefs>
</ds:datastoreItem>
</file>

<file path=customXml/itemProps3.xml><?xml version="1.0" encoding="utf-8"?>
<ds:datastoreItem xmlns:ds="http://schemas.openxmlformats.org/officeDocument/2006/customXml" ds:itemID="{191B487F-F370-42DF-8B13-7F733496E70A}">
  <ds:schemaRefs>
    <ds:schemaRef ds:uri="http://schemas.microsoft.com/office/infopath/2007/PartnerControls"/>
    <ds:schemaRef ds:uri="4c100dba-fa36-4aa9-828e-146f67642bfd"/>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1cae25e0-c275-4205-a8d6-3c424cf1b758"/>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Impedance Values from Automated</vt:lpstr>
      <vt:lpstr>Array Map with Automated Tester</vt:lpstr>
      <vt:lpstr>Cerebus mapping</vt:lpstr>
      <vt:lpstr>arraycols</vt:lpstr>
      <vt:lpstr>arraylabel</vt:lpstr>
      <vt:lpstr>arrayrows</vt:lpstr>
      <vt:lpstr>arrayspace</vt:lpstr>
    </vt:vector>
  </TitlesOfParts>
  <Company>BionicTechnologies,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Operator</cp:lastModifiedBy>
  <cp:lastPrinted>2024-02-07T17:23:07Z</cp:lastPrinted>
  <dcterms:created xsi:type="dcterms:W3CDTF">2001-09-13T21:34:09Z</dcterms:created>
  <dcterms:modified xsi:type="dcterms:W3CDTF">2024-02-07T17:23:20Z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0x0101001DF26BEDCB525843B5B5DC10EBB5612F</vt:lpwstr>
  </property>
</Properties>
</file>